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仪表板" sheetId="1" state="visible" r:id="rId3"/>
    <sheet name="使用说明" sheetId="2" state="visible" r:id="rId4"/>
    <sheet name="设置" sheetId="3" state="visible" r:id="rId5"/>
    <sheet name="每日记录" sheetId="4" state="visible" r:id="rId6"/>
    <sheet name="停机记录" sheetId="5" state="visible" r:id="rId7"/>
  </sheets>
  <definedNames>
    <definedName function="false" hidden="false" localSheetId="0" name="_xlnm.Print_Area" vbProcedure="false">仪表板!$A$1:$I$52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Noto Sans CJK SC"/>
            <family val="2"/>
          </rPr>
          <t xml:space="preserve">非工作日请让停机时间留空，该行会被跳过。如果产线运行且没有停机，请输入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Noto Sans CJK SC"/>
            <family val="2"/>
          </rPr>
          <t xml:space="preserve">可选。只要这里有记录，仪表板的 </t>
        </r>
        <r>
          <rPr>
            <sz val="10"/>
            <rFont val="Arial"/>
            <family val="2"/>
          </rPr>
          <t xml:space="preserve">Pareto </t>
        </r>
        <r>
          <rPr>
            <sz val="10"/>
            <rFont val="Noto Sans CJK SC"/>
            <family val="2"/>
          </rPr>
          <t xml:space="preserve">就会使用它；否则使用每日记录中的主要原因。</t>
        </r>
      </text>
    </comment>
  </commentList>
</comments>
</file>

<file path=xl/sharedStrings.xml><?xml version="1.0" encoding="utf-8"?>
<sst xmlns="http://schemas.openxmlformats.org/spreadsheetml/2006/main" count="108" uniqueCount="73">
  <si>
    <t xml:space="preserve">根据「每日记录」自动更新，请勿在此输入。</t>
  </si>
  <si>
    <r>
      <rPr>
        <b val="true"/>
        <sz val="11"/>
        <color rgb="FFFF7A1A"/>
        <rFont val="Noto Sans CJK SC"/>
        <family val="2"/>
      </rPr>
      <t xml:space="preserve">停机 </t>
    </r>
    <r>
      <rPr>
        <b val="true"/>
        <sz val="11"/>
        <color rgb="FFFF7A1A"/>
        <rFont val="Arial"/>
        <family val="0"/>
        <charset val="1"/>
      </rPr>
      <t xml:space="preserve">Pareto</t>
    </r>
  </si>
  <si>
    <t xml:space="preserve">辅助列（请勿修改）</t>
  </si>
  <si>
    <t xml:space="preserve">月度汇总</t>
  </si>
  <si>
    <t xml:space="preserve">#</t>
  </si>
  <si>
    <t xml:space="preserve">原因</t>
  </si>
  <si>
    <t xml:space="preserve">分钟</t>
  </si>
  <si>
    <t xml:space="preserve">占比</t>
  </si>
  <si>
    <t xml:space="preserve">累计占比</t>
  </si>
  <si>
    <t xml:space="preserve">记录天数</t>
  </si>
  <si>
    <t xml:space="preserve">良品总数</t>
  </si>
  <si>
    <t xml:space="preserve">目标</t>
  </si>
  <si>
    <t xml:space="preserve">达成率</t>
  </si>
  <si>
    <t xml:space="preserve">稼动率</t>
  </si>
  <si>
    <t xml:space="preserve">性能率</t>
  </si>
  <si>
    <t xml:space="preserve">良率</t>
  </si>
  <si>
    <t xml:space="preserve">OEE</t>
  </si>
  <si>
    <r>
      <rPr>
        <b val="true"/>
        <sz val="10"/>
        <rFont val="Arial"/>
        <family val="0"/>
        <charset val="1"/>
      </rPr>
      <t xml:space="preserve">OEE </t>
    </r>
    <r>
      <rPr>
        <b val="true"/>
        <sz val="10"/>
        <rFont val="Noto Sans CJK SC"/>
        <family val="2"/>
      </rPr>
      <t xml:space="preserve">目标</t>
    </r>
  </si>
  <si>
    <t xml:space="preserve">报废率</t>
  </si>
  <si>
    <r>
      <rPr>
        <i val="true"/>
        <sz val="10"/>
        <color rgb="FF5B6B78"/>
        <rFont val="Noto Sans CJK SC"/>
        <family val="2"/>
      </rPr>
      <t xml:space="preserve">先解决前 </t>
    </r>
    <r>
      <rPr>
        <i val="true"/>
        <sz val="10"/>
        <color rgb="FF5B6B78"/>
        <rFont val="Arial"/>
        <family val="0"/>
        <charset val="1"/>
      </rPr>
      <t xml:space="preserve">1–2 </t>
    </r>
    <r>
      <rPr>
        <i val="true"/>
        <sz val="10"/>
        <color rgb="FF5B6B78"/>
        <rFont val="Noto Sans CJK SC"/>
        <family val="2"/>
      </rPr>
      <t xml:space="preserve">个原因，它们通常占了大部分损失。</t>
    </r>
  </si>
  <si>
    <t xml:space="preserve">停机（小时）</t>
  </si>
  <si>
    <t xml:space="preserve">最大损失</t>
  </si>
  <si>
    <r>
      <rPr>
        <b val="true"/>
        <sz val="16"/>
        <color rgb="FF0B2B44"/>
        <rFont val="Noto Sans CJK SC"/>
        <family val="2"/>
      </rPr>
      <t xml:space="preserve">生产 </t>
    </r>
    <r>
      <rPr>
        <b val="true"/>
        <sz val="16"/>
        <color rgb="FF0B2B44"/>
        <rFont val="Arial"/>
        <family val="0"/>
        <charset val="1"/>
      </rPr>
      <t xml:space="preserve">KPI </t>
    </r>
    <r>
      <rPr>
        <b val="true"/>
        <sz val="16"/>
        <color rgb="FF0B2B44"/>
        <rFont val="Noto Sans CJK SC"/>
        <family val="2"/>
      </rPr>
      <t xml:space="preserve">仪表板</t>
    </r>
  </si>
  <si>
    <r>
      <rPr>
        <i val="true"/>
        <sz val="10"/>
        <color rgb="FF5B6B78"/>
        <rFont val="Noto Sans CJK SC"/>
        <family val="2"/>
      </rPr>
      <t xml:space="preserve">老鱼说（</t>
    </r>
    <r>
      <rPr>
        <i val="true"/>
        <sz val="10"/>
        <color rgb="FF5B6B78"/>
        <rFont val="Arial"/>
        <family val="0"/>
        <charset val="1"/>
      </rPr>
      <t xml:space="preserve">@laoyu.talks</t>
    </r>
    <r>
      <rPr>
        <i val="true"/>
        <sz val="10"/>
        <color rgb="FF5B6B78"/>
        <rFont val="Noto Sans CJK SC"/>
        <family val="2"/>
      </rPr>
      <t xml:space="preserve">）免费模板  </t>
    </r>
    <r>
      <rPr>
        <i val="true"/>
        <sz val="10"/>
        <color rgb="FF5B6B78"/>
        <rFont val="Arial"/>
        <family val="0"/>
        <charset val="1"/>
      </rPr>
      <t xml:space="preserve">·  laoyutalks-max.github.io/laoyutalks-content-brain</t>
    </r>
  </si>
  <si>
    <t xml:space="preserve">使用方法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</si>
  <si>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在「设置」填写产线名称、月份开始日期、每天计划生产时间、理想节拍和目标。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</si>
  <si>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每天在「每日记录」填写黄色格：停机分钟、总产量、良品数和主要停机原因。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</si>
  <si>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（可选）在「停机记录」记录每次停机的原因与时长，</t>
    </r>
    <r>
      <rPr>
        <sz val="10"/>
        <rFont val="Arial"/>
        <family val="0"/>
        <charset val="1"/>
      </rPr>
      <t xml:space="preserve">Pareto </t>
    </r>
    <r>
      <rPr>
        <sz val="10"/>
        <rFont val="Noto Sans CJK SC"/>
        <family val="2"/>
      </rPr>
      <t xml:space="preserve">会更准确。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</si>
  <si>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「仪表板」会自动更新。白色格是公式，请不要在里面输入。</t>
    </r>
  </si>
  <si>
    <t xml:space="preserve">图例</t>
  </si>
  <si>
    <r>
      <rPr>
        <sz val="10"/>
        <rFont val="Noto Sans CJK SC"/>
        <family val="2"/>
      </rPr>
      <t xml:space="preserve">黄色格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输入你的数据</t>
    </r>
  </si>
  <si>
    <r>
      <rPr>
        <sz val="10"/>
        <rFont val="Noto Sans CJK SC"/>
        <family val="2"/>
      </rPr>
      <t xml:space="preserve">蓝色字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示例数据（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月），请替换成你自己的数据。</t>
    </r>
  </si>
  <si>
    <t xml:space="preserve">定义</t>
  </si>
  <si>
    <r>
      <rPr>
        <sz val="10"/>
        <rFont val="Noto Sans CJK SC"/>
        <family val="2"/>
      </rPr>
      <t xml:space="preserve">稼动率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运行时间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计划时间（运行时间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计划时间 − 停机时间）</t>
    </r>
  </si>
  <si>
    <r>
      <rPr>
        <sz val="10"/>
        <rFont val="Noto Sans CJK SC"/>
        <family val="2"/>
      </rPr>
      <t xml:space="preserve">性能率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理想节拍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总产量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运行时间</t>
    </r>
  </si>
  <si>
    <r>
      <rPr>
        <sz val="10"/>
        <rFont val="Noto Sans CJK SC"/>
        <family val="2"/>
      </rPr>
      <t xml:space="preserve">良率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良品数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总产量</t>
    </r>
  </si>
  <si>
    <r>
      <rPr>
        <sz val="10"/>
        <rFont val="Arial"/>
        <family val="0"/>
        <charset val="1"/>
      </rPr>
      <t xml:space="preserve">OEE = </t>
    </r>
    <r>
      <rPr>
        <sz val="10"/>
        <rFont val="Noto Sans CJK SC"/>
        <family val="2"/>
      </rPr>
      <t xml:space="preserve">稼动率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性能率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良率</t>
    </r>
  </si>
  <si>
    <t xml:space="preserve">月度数据由月度总数计算，而不是把每日百分比取平均。</t>
  </si>
  <si>
    <t xml:space="preserve">提示</t>
  </si>
  <si>
    <t xml:space="preserve">稼动率高但产量没变，通常是速度损失或小停机。要看性能率，而不只是稼动率。</t>
  </si>
  <si>
    <t xml:space="preserve">设置</t>
  </si>
  <si>
    <r>
      <rPr>
        <b val="true"/>
        <sz val="10"/>
        <rFont val="Noto Sans CJK SC"/>
        <family val="2"/>
      </rPr>
      <t xml:space="preserve">产线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区域</t>
    </r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</si>
  <si>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线</t>
    </r>
  </si>
  <si>
    <t xml:space="preserve">显示在仪表板上的名称</t>
  </si>
  <si>
    <t xml:space="preserve">月份开始日期</t>
  </si>
  <si>
    <t xml:space="preserve">你要追踪的月份第一天</t>
  </si>
  <si>
    <t xml:space="preserve">每天计划生产时间（分钟）</t>
  </si>
  <si>
    <r>
      <rPr>
        <i val="true"/>
        <sz val="10"/>
        <color rgb="FF5B6B78"/>
        <rFont val="Noto Sans CJK SC"/>
        <family val="2"/>
      </rPr>
      <t xml:space="preserve">班次时间减去计划休息。示例：</t>
    </r>
    <r>
      <rPr>
        <i val="true"/>
        <sz val="10"/>
        <color rgb="FF5B6B78"/>
        <rFont val="Arial"/>
        <family val="0"/>
        <charset val="1"/>
      </rPr>
      <t xml:space="preserve">8 </t>
    </r>
    <r>
      <rPr>
        <i val="true"/>
        <sz val="10"/>
        <color rgb="FF5B6B78"/>
        <rFont val="Noto Sans CJK SC"/>
        <family val="2"/>
      </rPr>
      <t xml:space="preserve">小时班次减 </t>
    </r>
    <r>
      <rPr>
        <i val="true"/>
        <sz val="10"/>
        <color rgb="FF5B6B78"/>
        <rFont val="Arial"/>
        <family val="0"/>
        <charset val="1"/>
      </rPr>
      <t xml:space="preserve">30 </t>
    </r>
    <r>
      <rPr>
        <i val="true"/>
        <sz val="10"/>
        <color rgb="FF5B6B78"/>
        <rFont val="Noto Sans CJK SC"/>
        <family val="2"/>
      </rPr>
      <t xml:space="preserve">分钟休息</t>
    </r>
  </si>
  <si>
    <r>
      <rPr>
        <b val="true"/>
        <sz val="10"/>
        <rFont val="Noto Sans CJK SC"/>
        <family val="2"/>
      </rPr>
      <t xml:space="preserve">理想节拍（秒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件）</t>
    </r>
  </si>
  <si>
    <t xml:space="preserve">这个产品已验证的最快节拍（示例值）</t>
  </si>
  <si>
    <t xml:space="preserve">每日产量目标（良品）</t>
  </si>
  <si>
    <t xml:space="preserve">示例目标</t>
  </si>
  <si>
    <r>
      <rPr>
        <i val="true"/>
        <sz val="10"/>
        <color rgb="FF5B6B78"/>
        <rFont val="Noto Sans CJK SC"/>
        <family val="2"/>
      </rPr>
      <t xml:space="preserve">示例目标。</t>
    </r>
    <r>
      <rPr>
        <i val="true"/>
        <sz val="10"/>
        <color rgb="FF5B6B78"/>
        <rFont val="Arial"/>
        <family val="0"/>
        <charset val="1"/>
      </rPr>
      <t xml:space="preserve">85% </t>
    </r>
    <r>
      <rPr>
        <i val="true"/>
        <sz val="10"/>
        <color rgb="FF5B6B78"/>
        <rFont val="Noto Sans CJK SC"/>
        <family val="2"/>
      </rPr>
      <t xml:space="preserve">常被称为世界级水平，请为你的产线设定实际可行的目标</t>
    </r>
  </si>
  <si>
    <t xml:space="preserve">报废率目标</t>
  </si>
  <si>
    <t xml:space="preserve">停机原因（可按你的产线修改）</t>
  </si>
  <si>
    <t xml:space="preserve">故障</t>
  </si>
  <si>
    <t xml:space="preserve">换线</t>
  </si>
  <si>
    <t xml:space="preserve">等料</t>
  </si>
  <si>
    <t xml:space="preserve">缺人</t>
  </si>
  <si>
    <t xml:space="preserve">质量隔离</t>
  </si>
  <si>
    <t xml:space="preserve">计划保养</t>
  </si>
  <si>
    <t xml:space="preserve">小停机</t>
  </si>
  <si>
    <t xml:space="preserve">其他</t>
  </si>
  <si>
    <t xml:space="preserve">日期</t>
  </si>
  <si>
    <t xml:space="preserve">计划时间（分钟）</t>
  </si>
  <si>
    <t xml:space="preserve">停机（分钟）</t>
  </si>
  <si>
    <t xml:space="preserve">总产量</t>
  </si>
  <si>
    <t xml:space="preserve">良品数</t>
  </si>
  <si>
    <t xml:space="preserve">主要停机原因</t>
  </si>
  <si>
    <t xml:space="preserve">备注</t>
  </si>
  <si>
    <t xml:space="preserve">运行时间（分钟）</t>
  </si>
  <si>
    <t xml:space="preserve">报废数</t>
  </si>
  <si>
    <r>
      <rPr>
        <b val="true"/>
        <sz val="10"/>
        <color rgb="FFFFFFFF"/>
        <rFont val="Noto Sans CJK SC"/>
        <family val="2"/>
      </rPr>
      <t xml:space="preserve">设备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工位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</si>
</sst>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"/>
    <numFmt numFmtId="167" formatCode="0%"/>
    <numFmt numFmtId="168" formatCode="General"/>
    <numFmt numFmtId="169" formatCode="0.0%"/>
    <numFmt numFmtId="170" formatCode="#,##0.0"/>
    <numFmt numFmtId="171" formatCode="@"/>
    <numFmt numFmtId="172" formatCode="yyyy\-mm\-dd"/>
    <numFmt numFmtId="173" formatCode="m\月d\日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B44"/>
      <name val="Noto Sans CJK SC"/>
      <family val="2"/>
    </font>
    <font>
      <i val="true"/>
      <sz val="10"/>
      <color rgb="FF5B6B78"/>
      <name val="Noto Sans CJK SC"/>
      <family val="2"/>
    </font>
    <font>
      <b val="true"/>
      <sz val="11"/>
      <color rgb="FFFF7A1A"/>
      <name val="Noto Sans CJK SC"/>
      <family val="2"/>
    </font>
    <font>
      <b val="true"/>
      <sz val="11"/>
      <color rgb="FFFF7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2"/>
      <color rgb="FF0B2B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B6B78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B2B44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2B4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B"/>
      </left>
      <right style="thin">
        <color rgb="FFC9D3DB"/>
      </right>
      <top style="thin">
        <color rgb="FFC9D3DB"/>
      </top>
      <bottom style="thin">
        <color rgb="FFC9D3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C0392B"/>
      </font>
    </dxf>
    <dxf>
      <font>
        <b val="1"/>
        <color rgb="FF1E8449"/>
      </font>
    </dxf>
    <dxf>
      <font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C9D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87E5"/>
      <rgbColor rgb="FF33CCCC"/>
      <rgbColor rgb="FF99CC00"/>
      <rgbColor rgb="FFFFC000"/>
      <rgbColor rgb="FFFF9900"/>
      <rgbColor rgb="FFFF7A1A"/>
      <rgbColor rgb="FF5B6B78"/>
      <rgbColor rgb="FF969696"/>
      <rgbColor rgb="FF0B2B44"/>
      <rgbColor rgb="FF199E7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良品 vs 目标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每日记录!E1</c:f>
              <c:strCache>
                <c:ptCount val="1"/>
                <c:pt idx="0">
                  <c:v>良品数</c:v>
                </c:pt>
              </c:strCache>
            </c:strRef>
          </c:tx>
          <c:spPr>
            <a:solidFill>
              <a:srgbClr val="3987e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每日记录!$A$2:$A$32</c:f>
              <c:strCache>
                <c:ptCount val="31"/>
                <c:pt idx="0">
                  <c:v>10月1日</c:v>
                </c:pt>
                <c:pt idx="1">
                  <c:v>10月2日</c:v>
                </c:pt>
                <c:pt idx="2">
                  <c:v>10月3日</c:v>
                </c:pt>
                <c:pt idx="3">
                  <c:v>10月4日</c:v>
                </c:pt>
                <c:pt idx="4">
                  <c:v>10月5日</c:v>
                </c:pt>
                <c:pt idx="5">
                  <c:v>10月6日</c:v>
                </c:pt>
                <c:pt idx="6">
                  <c:v>10月7日</c:v>
                </c:pt>
                <c:pt idx="7">
                  <c:v>10月8日</c:v>
                </c:pt>
                <c:pt idx="8">
                  <c:v>10月9日</c:v>
                </c:pt>
                <c:pt idx="9">
                  <c:v>10月10日</c:v>
                </c:pt>
                <c:pt idx="10">
                  <c:v>10月11日</c:v>
                </c:pt>
                <c:pt idx="11">
                  <c:v>10月12日</c:v>
                </c:pt>
                <c:pt idx="12">
                  <c:v>10月13日</c:v>
                </c:pt>
                <c:pt idx="13">
                  <c:v>10月14日</c:v>
                </c:pt>
                <c:pt idx="14">
                  <c:v>10月15日</c:v>
                </c:pt>
                <c:pt idx="15">
                  <c:v>10月16日</c:v>
                </c:pt>
                <c:pt idx="16">
                  <c:v>10月17日</c:v>
                </c:pt>
                <c:pt idx="17">
                  <c:v>10月18日</c:v>
                </c:pt>
                <c:pt idx="18">
                  <c:v>10月19日</c:v>
                </c:pt>
                <c:pt idx="19">
                  <c:v>10月20日</c:v>
                </c:pt>
                <c:pt idx="20">
                  <c:v>10月21日</c:v>
                </c:pt>
                <c:pt idx="21">
                  <c:v>10月22日</c:v>
                </c:pt>
                <c:pt idx="22">
                  <c:v>10月23日</c:v>
                </c:pt>
                <c:pt idx="23">
                  <c:v>10月24日</c:v>
                </c:pt>
                <c:pt idx="24">
                  <c:v>10月25日</c:v>
                </c:pt>
                <c:pt idx="25">
                  <c:v>10月26日</c:v>
                </c:pt>
                <c:pt idx="26">
                  <c:v>10月27日</c:v>
                </c:pt>
                <c:pt idx="27">
                  <c:v>10月28日</c:v>
                </c:pt>
                <c:pt idx="28">
                  <c:v>10月29日</c:v>
                </c:pt>
                <c:pt idx="29">
                  <c:v>10月30日</c:v>
                </c:pt>
                <c:pt idx="30">
                  <c:v>10月31日</c:v>
                </c:pt>
              </c:strCache>
            </c:strRef>
          </c:cat>
          <c:val>
            <c:numRef>
              <c:f>每日记录!$E$2:$E$32</c:f>
              <c:numCache>
                <c:formatCode>#,##0</c:formatCode>
                <c:ptCount val="31"/>
                <c:pt idx="0">
                  <c:v>760</c:v>
                </c:pt>
                <c:pt idx="1">
                  <c:v>628</c:v>
                </c:pt>
                <c:pt idx="4">
                  <c:v>632</c:v>
                </c:pt>
                <c:pt idx="5">
                  <c:v>726</c:v>
                </c:pt>
                <c:pt idx="6">
                  <c:v>700</c:v>
                </c:pt>
                <c:pt idx="7">
                  <c:v>584</c:v>
                </c:pt>
                <c:pt idx="8">
                  <c:v>675</c:v>
                </c:pt>
                <c:pt idx="11">
                  <c:v>664</c:v>
                </c:pt>
                <c:pt idx="12">
                  <c:v>619</c:v>
                </c:pt>
                <c:pt idx="13">
                  <c:v>716</c:v>
                </c:pt>
                <c:pt idx="14">
                  <c:v>672</c:v>
                </c:pt>
                <c:pt idx="15">
                  <c:v>715</c:v>
                </c:pt>
                <c:pt idx="18">
                  <c:v>639</c:v>
                </c:pt>
                <c:pt idx="19">
                  <c:v>736</c:v>
                </c:pt>
                <c:pt idx="20">
                  <c:v>719</c:v>
                </c:pt>
                <c:pt idx="21">
                  <c:v>709</c:v>
                </c:pt>
                <c:pt idx="22">
                  <c:v>679</c:v>
                </c:pt>
                <c:pt idx="25">
                  <c:v>713</c:v>
                </c:pt>
                <c:pt idx="26">
                  <c:v>767</c:v>
                </c:pt>
                <c:pt idx="27">
                  <c:v>753</c:v>
                </c:pt>
                <c:pt idx="28">
                  <c:v>702</c:v>
                </c:pt>
                <c:pt idx="29">
                  <c:v>779</c:v>
                </c:pt>
              </c:numCache>
            </c:numRef>
          </c:val>
        </c:ser>
        <c:gapWidth val="150"/>
        <c:overlap val="0"/>
        <c:axId val="8186206"/>
        <c:axId val="64355834"/>
      </c:barChart>
      <c:lineChart>
        <c:grouping val="standard"/>
        <c:varyColors val="0"/>
        <c:ser>
          <c:idx val="1"/>
          <c:order val="1"/>
          <c:tx>
            <c:strRef>
              <c:f>每日记录!M1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ff7a1a"/>
            </a:solidFill>
            <a:ln w="28440">
              <a:solidFill>
                <a:srgbClr val="ff7a1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每日记录!$A$2:$A$32</c:f>
              <c:strCache>
                <c:ptCount val="31"/>
                <c:pt idx="0">
                  <c:v>10月1日</c:v>
                </c:pt>
                <c:pt idx="1">
                  <c:v>10月2日</c:v>
                </c:pt>
                <c:pt idx="2">
                  <c:v>10月3日</c:v>
                </c:pt>
                <c:pt idx="3">
                  <c:v>10月4日</c:v>
                </c:pt>
                <c:pt idx="4">
                  <c:v>10月5日</c:v>
                </c:pt>
                <c:pt idx="5">
                  <c:v>10月6日</c:v>
                </c:pt>
                <c:pt idx="6">
                  <c:v>10月7日</c:v>
                </c:pt>
                <c:pt idx="7">
                  <c:v>10月8日</c:v>
                </c:pt>
                <c:pt idx="8">
                  <c:v>10月9日</c:v>
                </c:pt>
                <c:pt idx="9">
                  <c:v>10月10日</c:v>
                </c:pt>
                <c:pt idx="10">
                  <c:v>10月11日</c:v>
                </c:pt>
                <c:pt idx="11">
                  <c:v>10月12日</c:v>
                </c:pt>
                <c:pt idx="12">
                  <c:v>10月13日</c:v>
                </c:pt>
                <c:pt idx="13">
                  <c:v>10月14日</c:v>
                </c:pt>
                <c:pt idx="14">
                  <c:v>10月15日</c:v>
                </c:pt>
                <c:pt idx="15">
                  <c:v>10月16日</c:v>
                </c:pt>
                <c:pt idx="16">
                  <c:v>10月17日</c:v>
                </c:pt>
                <c:pt idx="17">
                  <c:v>10月18日</c:v>
                </c:pt>
                <c:pt idx="18">
                  <c:v>10月19日</c:v>
                </c:pt>
                <c:pt idx="19">
                  <c:v>10月20日</c:v>
                </c:pt>
                <c:pt idx="20">
                  <c:v>10月21日</c:v>
                </c:pt>
                <c:pt idx="21">
                  <c:v>10月22日</c:v>
                </c:pt>
                <c:pt idx="22">
                  <c:v>10月23日</c:v>
                </c:pt>
                <c:pt idx="23">
                  <c:v>10月24日</c:v>
                </c:pt>
                <c:pt idx="24">
                  <c:v>10月25日</c:v>
                </c:pt>
                <c:pt idx="25">
                  <c:v>10月26日</c:v>
                </c:pt>
                <c:pt idx="26">
                  <c:v>10月27日</c:v>
                </c:pt>
                <c:pt idx="27">
                  <c:v>10月28日</c:v>
                </c:pt>
                <c:pt idx="28">
                  <c:v>10月29日</c:v>
                </c:pt>
                <c:pt idx="29">
                  <c:v>10月30日</c:v>
                </c:pt>
                <c:pt idx="30">
                  <c:v>10月31日</c:v>
                </c:pt>
              </c:strCache>
            </c:strRef>
          </c:cat>
          <c:val>
            <c:numRef>
              <c:f>每日记录!$M$2:$M$32</c:f>
              <c:numCache>
                <c:formatCode>#,##0</c:formatCode>
                <c:ptCount val="31"/>
                <c:pt idx="0">
                  <c:v>780</c:v>
                </c:pt>
                <c:pt idx="1">
                  <c:v>780</c:v>
                </c:pt>
                <c:pt idx="4">
                  <c:v>780</c:v>
                </c:pt>
                <c:pt idx="5">
                  <c:v>780</c:v>
                </c:pt>
                <c:pt idx="6">
                  <c:v>780</c:v>
                </c:pt>
                <c:pt idx="7">
                  <c:v>780</c:v>
                </c:pt>
                <c:pt idx="8">
                  <c:v>780</c:v>
                </c:pt>
                <c:pt idx="11">
                  <c:v>780</c:v>
                </c:pt>
                <c:pt idx="12">
                  <c:v>780</c:v>
                </c:pt>
                <c:pt idx="13">
                  <c:v>780</c:v>
                </c:pt>
                <c:pt idx="14">
                  <c:v>780</c:v>
                </c:pt>
                <c:pt idx="15">
                  <c:v>780</c:v>
                </c:pt>
                <c:pt idx="18">
                  <c:v>780</c:v>
                </c:pt>
                <c:pt idx="19">
                  <c:v>780</c:v>
                </c:pt>
                <c:pt idx="20">
                  <c:v>780</c:v>
                </c:pt>
                <c:pt idx="21">
                  <c:v>780</c:v>
                </c:pt>
                <c:pt idx="22">
                  <c:v>780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780</c:v>
                </c:pt>
                <c:pt idx="29">
                  <c:v>780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86206"/>
        <c:axId val="64355834"/>
      </c:lineChart>
      <c:catAx>
        <c:axId val="8186206"/>
        <c:scaling>
          <c:orientation val="minMax"/>
        </c:scaling>
        <c:delete val="0"/>
        <c:axPos val="b"/>
        <c:numFmt formatCode="m\月d\日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55834"/>
        <c:crosses val="autoZero"/>
        <c:auto val="1"/>
        <c:lblAlgn val="ctr"/>
        <c:lblOffset val="100"/>
        <c:noMultiLvlLbl val="0"/>
      </c:catAx>
      <c:valAx>
        <c:axId val="64355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2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每日 OEE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每日记录!L1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199e7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每日记录!$A$2:$A$32</c:f>
              <c:strCache>
                <c:ptCount val="31"/>
                <c:pt idx="0">
                  <c:v>10月1日</c:v>
                </c:pt>
                <c:pt idx="1">
                  <c:v>10月2日</c:v>
                </c:pt>
                <c:pt idx="2">
                  <c:v>10月3日</c:v>
                </c:pt>
                <c:pt idx="3">
                  <c:v>10月4日</c:v>
                </c:pt>
                <c:pt idx="4">
                  <c:v>10月5日</c:v>
                </c:pt>
                <c:pt idx="5">
                  <c:v>10月6日</c:v>
                </c:pt>
                <c:pt idx="6">
                  <c:v>10月7日</c:v>
                </c:pt>
                <c:pt idx="7">
                  <c:v>10月8日</c:v>
                </c:pt>
                <c:pt idx="8">
                  <c:v>10月9日</c:v>
                </c:pt>
                <c:pt idx="9">
                  <c:v>10月10日</c:v>
                </c:pt>
                <c:pt idx="10">
                  <c:v>10月11日</c:v>
                </c:pt>
                <c:pt idx="11">
                  <c:v>10月12日</c:v>
                </c:pt>
                <c:pt idx="12">
                  <c:v>10月13日</c:v>
                </c:pt>
                <c:pt idx="13">
                  <c:v>10月14日</c:v>
                </c:pt>
                <c:pt idx="14">
                  <c:v>10月15日</c:v>
                </c:pt>
                <c:pt idx="15">
                  <c:v>10月16日</c:v>
                </c:pt>
                <c:pt idx="16">
                  <c:v>10月17日</c:v>
                </c:pt>
                <c:pt idx="17">
                  <c:v>10月18日</c:v>
                </c:pt>
                <c:pt idx="18">
                  <c:v>10月19日</c:v>
                </c:pt>
                <c:pt idx="19">
                  <c:v>10月20日</c:v>
                </c:pt>
                <c:pt idx="20">
                  <c:v>10月21日</c:v>
                </c:pt>
                <c:pt idx="21">
                  <c:v>10月22日</c:v>
                </c:pt>
                <c:pt idx="22">
                  <c:v>10月23日</c:v>
                </c:pt>
                <c:pt idx="23">
                  <c:v>10月24日</c:v>
                </c:pt>
                <c:pt idx="24">
                  <c:v>10月25日</c:v>
                </c:pt>
                <c:pt idx="25">
                  <c:v>10月26日</c:v>
                </c:pt>
                <c:pt idx="26">
                  <c:v>10月27日</c:v>
                </c:pt>
                <c:pt idx="27">
                  <c:v>10月28日</c:v>
                </c:pt>
                <c:pt idx="28">
                  <c:v>10月29日</c:v>
                </c:pt>
                <c:pt idx="29">
                  <c:v>10月30日</c:v>
                </c:pt>
                <c:pt idx="30">
                  <c:v>10月31日</c:v>
                </c:pt>
              </c:strCache>
            </c:strRef>
          </c:cat>
          <c:val>
            <c:numRef>
              <c:f>每日记录!$L$2:$L$32</c:f>
              <c:numCache>
                <c:formatCode>0.0%</c:formatCode>
                <c:ptCount val="31"/>
                <c:pt idx="0">
                  <c:v>0.844444444444444</c:v>
                </c:pt>
                <c:pt idx="1">
                  <c:v>0.697777777777778</c:v>
                </c:pt>
                <c:pt idx="4">
                  <c:v>0.702222222222222</c:v>
                </c:pt>
                <c:pt idx="5">
                  <c:v>0.806666666666667</c:v>
                </c:pt>
                <c:pt idx="6">
                  <c:v>0.777777777777778</c:v>
                </c:pt>
                <c:pt idx="7">
                  <c:v>0.648888888888889</c:v>
                </c:pt>
                <c:pt idx="8">
                  <c:v>0.75</c:v>
                </c:pt>
                <c:pt idx="11">
                  <c:v>0.737777777777778</c:v>
                </c:pt>
                <c:pt idx="12">
                  <c:v>0.687777777777778</c:v>
                </c:pt>
                <c:pt idx="13">
                  <c:v>0.795555555555556</c:v>
                </c:pt>
                <c:pt idx="14">
                  <c:v>0.746666666666667</c:v>
                </c:pt>
                <c:pt idx="15">
                  <c:v>0.794444444444444</c:v>
                </c:pt>
                <c:pt idx="18">
                  <c:v>0.71</c:v>
                </c:pt>
                <c:pt idx="19">
                  <c:v>0.817777777777778</c:v>
                </c:pt>
                <c:pt idx="20">
                  <c:v>0.798888888888889</c:v>
                </c:pt>
                <c:pt idx="21">
                  <c:v>0.787777777777778</c:v>
                </c:pt>
                <c:pt idx="22">
                  <c:v>0.754444444444445</c:v>
                </c:pt>
                <c:pt idx="25">
                  <c:v>0.792222222222222</c:v>
                </c:pt>
                <c:pt idx="26">
                  <c:v>0.852222222222222</c:v>
                </c:pt>
                <c:pt idx="27">
                  <c:v>0.836666666666667</c:v>
                </c:pt>
                <c:pt idx="28">
                  <c:v>0.78</c:v>
                </c:pt>
                <c:pt idx="29">
                  <c:v>0.865555555555556</c:v>
                </c:pt>
              </c:numCache>
            </c:numRef>
          </c:val>
        </c:ser>
        <c:gapWidth val="150"/>
        <c:overlap val="0"/>
        <c:axId val="6361326"/>
        <c:axId val="68850673"/>
      </c:barChart>
      <c:catAx>
        <c:axId val="6361326"/>
        <c:scaling>
          <c:orientation val="minMax"/>
        </c:scaling>
        <c:delete val="0"/>
        <c:axPos val="b"/>
        <c:numFmt formatCode="m\月d\日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50673"/>
        <c:crosses val="autoZero"/>
        <c:auto val="1"/>
        <c:lblAlgn val="ctr"/>
        <c:lblOffset val="100"/>
        <c:noMultiLvlLbl val="0"/>
      </c:catAx>
      <c:valAx>
        <c:axId val="6885067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13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停机原因（分钟）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仪表板!G4</c:f>
              <c:strCache>
                <c:ptCount val="1"/>
                <c:pt idx="0">
                  <c:v>分钟</c:v>
                </c:pt>
              </c:strCache>
            </c:strRef>
          </c:tx>
          <c:spPr>
            <a:solidFill>
              <a:srgbClr val="ff7a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仪表板!$F$5:$F$12</c:f>
              <c:strCache>
                <c:ptCount val="8"/>
                <c:pt idx="0">
                  <c:v>故障</c:v>
                </c:pt>
                <c:pt idx="1">
                  <c:v>等料</c:v>
                </c:pt>
                <c:pt idx="2">
                  <c:v>换线</c:v>
                </c:pt>
                <c:pt idx="3">
                  <c:v>小停机</c:v>
                </c:pt>
                <c:pt idx="4">
                  <c:v>缺人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</c:strCache>
            </c:strRef>
          </c:cat>
          <c:val>
            <c:numRef>
              <c:f>仪表板!$G$5:$G$12</c:f>
              <c:numCache>
                <c:formatCode>#,##0</c:formatCode>
                <c:ptCount val="8"/>
                <c:pt idx="0">
                  <c:v>320</c:v>
                </c:pt>
                <c:pt idx="1">
                  <c:v>265</c:v>
                </c:pt>
                <c:pt idx="2">
                  <c:v>100</c:v>
                </c:pt>
                <c:pt idx="3">
                  <c:v>75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16869455"/>
        <c:axId val="26362288"/>
      </c:barChart>
      <c:catAx>
        <c:axId val="168694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2288"/>
        <c:crosses val="autoZero"/>
        <c:auto val="1"/>
        <c:lblAlgn val="ctr"/>
        <c:lblOffset val="100"/>
        <c:noMultiLvlLbl val="0"/>
      </c:catAx>
      <c:valAx>
        <c:axId val="26362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694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50760</xdr:rowOff>
    </xdr:from>
    <xdr:to>
      <xdr:col>5</xdr:col>
      <xdr:colOff>552600</xdr:colOff>
      <xdr:row>31</xdr:row>
      <xdr:rowOff>83520</xdr:rowOff>
    </xdr:to>
    <xdr:graphicFrame>
      <xdr:nvGraphicFramePr>
        <xdr:cNvPr id="0" name="Chart 1"/>
        <xdr:cNvGraphicFramePr/>
      </xdr:nvGraphicFramePr>
      <xdr:xfrm>
        <a:off x="0" y="342900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50760</xdr:rowOff>
    </xdr:from>
    <xdr:to>
      <xdr:col>13</xdr:col>
      <xdr:colOff>128520</xdr:colOff>
      <xdr:row>31</xdr:row>
      <xdr:rowOff>83520</xdr:rowOff>
    </xdr:to>
    <xdr:graphicFrame>
      <xdr:nvGraphicFramePr>
        <xdr:cNvPr id="1" name="Chart 2"/>
        <xdr:cNvGraphicFramePr/>
      </xdr:nvGraphicFramePr>
      <xdr:xfrm>
        <a:off x="394704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50760</xdr:rowOff>
    </xdr:from>
    <xdr:to>
      <xdr:col>5</xdr:col>
      <xdr:colOff>552600</xdr:colOff>
      <xdr:row>47</xdr:row>
      <xdr:rowOff>83520</xdr:rowOff>
    </xdr:to>
    <xdr:graphicFrame>
      <xdr:nvGraphicFramePr>
        <xdr:cNvPr id="2" name="Chart 3"/>
        <xdr:cNvGraphicFramePr/>
      </xdr:nvGraphicFramePr>
      <xdr:xfrm>
        <a:off x="0" y="647712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A1A"/>
    <pageSetUpPr fitToPage="true"/>
  </sheetPr>
  <dimension ref="A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true" outlineLevel="0" max="11" min="11" style="0" width="26"/>
    <col collapsed="false" customWidth="true" hidden="true" outlineLevel="0" max="12" min="12" style="0" width="10"/>
  </cols>
  <sheetData>
    <row r="1" customFormat="false" ht="23.85" hidden="false" customHeight="false" outlineLevel="0" collapsed="false">
      <c r="A1" s="1" t="str">
        <f aca="false">"生产 KPI 仪表板  ·  "&amp;设置!B3&amp;"  ·  "&amp;TEXT(设置!B4,"yyyy-mm")</f>
        <v>生产 KPI 仪表板  ·  A 线  ·  2026-10</v>
      </c>
    </row>
    <row r="2" customFormat="false" ht="15" hidden="false" customHeight="false" outlineLevel="0" collapsed="false">
      <c r="A2" s="2" t="s">
        <v>0</v>
      </c>
    </row>
    <row r="3" customFormat="false" ht="17.15" hidden="false" customHeight="false" outlineLevel="0" collapsed="false">
      <c r="E3" s="3" t="s">
        <v>1</v>
      </c>
      <c r="K3" s="2" t="s">
        <v>2</v>
      </c>
    </row>
    <row r="4" customFormat="false" ht="15" hidden="false" customHeight="false" outlineLevel="0" collapsed="false">
      <c r="A4" s="3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</row>
    <row r="5" customFormat="false" ht="15" hidden="false" customHeight="false" outlineLevel="0" collapsed="false">
      <c r="A5" s="6" t="s">
        <v>9</v>
      </c>
      <c r="B5" s="7" t="n">
        <f aca="false">COUNT(每日记录!C2:C32)</f>
        <v>22</v>
      </c>
      <c r="E5" s="8" t="n">
        <v>1</v>
      </c>
      <c r="F5" s="8" t="str">
        <f aca="false">IF(G5=0,"-",INDEX($K$5:$K$12,MATCH(LARGE($L$5:$L$12,E5),$L$5:$L$12,0)))</f>
        <v>故障</v>
      </c>
      <c r="G5" s="9" t="n">
        <f aca="false">ROUND(LARGE($L$5:$L$12,E5),0)</f>
        <v>320</v>
      </c>
      <c r="H5" s="10" t="n">
        <f aca="false">IFERROR(G5/SUM($G$5:$G$12),0)</f>
        <v>0.4</v>
      </c>
      <c r="I5" s="10" t="n">
        <f aca="false">SUM($H$5:H5)</f>
        <v>0.4</v>
      </c>
      <c r="K5" s="0" t="str">
        <f aca="false">设置!A13</f>
        <v>故障</v>
      </c>
      <c r="L5" s="11" t="n">
        <f aca="false">IF(COUNT(停机记录!C2:C301)&gt;0,SUMIFS(停机记录!C2:C301,停机记录!B2:B301,K5),SUMIFS(每日记录!C2:C32,每日记录!F2:F32,K5))+ROW()/100000</f>
        <v>320.00005</v>
      </c>
    </row>
    <row r="6" customFormat="false" ht="15" hidden="false" customHeight="false" outlineLevel="0" collapsed="false">
      <c r="A6" s="6" t="s">
        <v>10</v>
      </c>
      <c r="B6" s="12" t="n">
        <f aca="false">SUM(每日记录!E2:E32)</f>
        <v>15287</v>
      </c>
      <c r="E6" s="8" t="n">
        <v>2</v>
      </c>
      <c r="F6" s="8" t="str">
        <f aca="false">IF(G6=0,"-",INDEX($K$5:$K$12,MATCH(LARGE($L$5:$L$12,E6),$L$5:$L$12,0)))</f>
        <v>等料</v>
      </c>
      <c r="G6" s="9" t="n">
        <f aca="false">ROUND(LARGE($L$5:$L$12,E6),0)</f>
        <v>265</v>
      </c>
      <c r="H6" s="10" t="n">
        <f aca="false">IFERROR(G6/SUM($G$5:$G$12),0)</f>
        <v>0.33125</v>
      </c>
      <c r="I6" s="10" t="n">
        <f aca="false">SUM($H$5:H6)</f>
        <v>0.73125</v>
      </c>
      <c r="K6" s="0" t="str">
        <f aca="false">设置!A14</f>
        <v>换线</v>
      </c>
      <c r="L6" s="11" t="n">
        <f aca="false">IF(COUNT(停机记录!C2:C301)&gt;0,SUMIFS(停机记录!C2:C301,停机记录!B2:B301,K6),SUMIFS(每日记录!C2:C32,每日记录!F2:F32,K6))+ROW()/100000</f>
        <v>100.00006</v>
      </c>
    </row>
    <row r="7" customFormat="false" ht="15" hidden="false" customHeight="false" outlineLevel="0" collapsed="false">
      <c r="A7" s="6" t="s">
        <v>11</v>
      </c>
      <c r="B7" s="12" t="n">
        <f aca="false">COUNT(每日记录!C2:C32)*设置!B7</f>
        <v>17160</v>
      </c>
      <c r="E7" s="8" t="n">
        <v>3</v>
      </c>
      <c r="F7" s="8" t="str">
        <f aca="false">IF(G7=0,"-",INDEX($K$5:$K$12,MATCH(LARGE($L$5:$L$12,E7),$L$5:$L$12,0)))</f>
        <v>换线</v>
      </c>
      <c r="G7" s="9" t="n">
        <f aca="false">ROUND(LARGE($L$5:$L$12,E7),0)</f>
        <v>100</v>
      </c>
      <c r="H7" s="10" t="n">
        <f aca="false">IFERROR(G7/SUM($G$5:$G$12),0)</f>
        <v>0.125</v>
      </c>
      <c r="I7" s="10" t="n">
        <f aca="false">SUM($H$5:H7)</f>
        <v>0.85625</v>
      </c>
      <c r="K7" s="0" t="str">
        <f aca="false">设置!A15</f>
        <v>等料</v>
      </c>
      <c r="L7" s="11" t="n">
        <f aca="false">IF(COUNT(停机记录!C2:C301)&gt;0,SUMIFS(停机记录!C2:C301,停机记录!B2:B301,K7),SUMIFS(每日记录!C2:C32,每日记录!F2:F32,K7))+ROW()/100000</f>
        <v>265.00007</v>
      </c>
    </row>
    <row r="8" customFormat="false" ht="15" hidden="false" customHeight="false" outlineLevel="0" collapsed="false">
      <c r="A8" s="6" t="s">
        <v>12</v>
      </c>
      <c r="B8" s="13" t="n">
        <f aca="false">IFERROR(B6/B7,0)</f>
        <v>0.890850815850816</v>
      </c>
      <c r="E8" s="8" t="n">
        <v>4</v>
      </c>
      <c r="F8" s="8" t="str">
        <f aca="false">IF(G8=0,"-",INDEX($K$5:$K$12,MATCH(LARGE($L$5:$L$12,E8),$L$5:$L$12,0)))</f>
        <v>小停机</v>
      </c>
      <c r="G8" s="9" t="n">
        <f aca="false">ROUND(LARGE($L$5:$L$12,E8),0)</f>
        <v>75</v>
      </c>
      <c r="H8" s="10" t="n">
        <f aca="false">IFERROR(G8/SUM($G$5:$G$12),0)</f>
        <v>0.09375</v>
      </c>
      <c r="I8" s="10" t="n">
        <f aca="false">SUM($H$5:H8)</f>
        <v>0.95</v>
      </c>
      <c r="K8" s="0" t="str">
        <f aca="false">设置!A16</f>
        <v>缺人</v>
      </c>
      <c r="L8" s="11" t="n">
        <f aca="false">IF(COUNT(停机记录!C2:C301)&gt;0,SUMIFS(停机记录!C2:C301,停机记录!B2:B301,K8),SUMIFS(每日记录!C2:C32,每日记录!F2:F32,K8))+ROW()/100000</f>
        <v>40.00008</v>
      </c>
    </row>
    <row r="9" customFormat="false" ht="15" hidden="false" customHeight="false" outlineLevel="0" collapsed="false">
      <c r="A9" s="6" t="s">
        <v>13</v>
      </c>
      <c r="B9" s="13" t="n">
        <f aca="false">IFERROR(SUM(每日记录!H2:H32)/SUM(每日记录!B2:B32),0)</f>
        <v>0.919191919191919</v>
      </c>
      <c r="E9" s="8" t="n">
        <v>5</v>
      </c>
      <c r="F9" s="8" t="str">
        <f aca="false">IF(G9=0,"-",INDEX($K$5:$K$12,MATCH(LARGE($L$5:$L$12,E9),$L$5:$L$12,0)))</f>
        <v>缺人</v>
      </c>
      <c r="G9" s="9" t="n">
        <f aca="false">ROUND(LARGE($L$5:$L$12,E9),0)</f>
        <v>40</v>
      </c>
      <c r="H9" s="10" t="n">
        <f aca="false">IFERROR(G9/SUM($G$5:$G$12),0)</f>
        <v>0.05</v>
      </c>
      <c r="I9" s="10" t="n">
        <f aca="false">SUM($H$5:H9)</f>
        <v>1</v>
      </c>
      <c r="K9" s="0" t="str">
        <f aca="false">设置!A17</f>
        <v>质量隔离</v>
      </c>
      <c r="L9" s="11" t="n">
        <f aca="false">IF(COUNT(停机记录!C2:C301)&gt;0,SUMIFS(停机记录!C2:C301,停机记录!B2:B301,K9),SUMIFS(每日记录!C2:C32,每日记录!F2:F32,K9))+ROW()/100000</f>
        <v>9E-005</v>
      </c>
    </row>
    <row r="10" customFormat="false" ht="15" hidden="false" customHeight="false" outlineLevel="0" collapsed="false">
      <c r="A10" s="6" t="s">
        <v>14</v>
      </c>
      <c r="B10" s="13" t="n">
        <f aca="false">IFERROR(设置!B6*SUM(每日记录!D2:D32)/(SUM(每日记录!H2:H32)*60),0)</f>
        <v>0.856868131868132</v>
      </c>
      <c r="E10" s="8" t="n">
        <v>6</v>
      </c>
      <c r="F10" s="8" t="str">
        <f aca="false">IF(G10=0,"-",INDEX($K$5:$K$12,MATCH(LARGE($L$5:$L$12,E10),$L$5:$L$12,0)))</f>
        <v>-</v>
      </c>
      <c r="G10" s="9" t="n">
        <f aca="false">ROUND(LARGE($L$5:$L$12,E10),0)</f>
        <v>0</v>
      </c>
      <c r="H10" s="10" t="n">
        <f aca="false">IFERROR(G10/SUM($G$5:$G$12),0)</f>
        <v>0</v>
      </c>
      <c r="I10" s="10" t="n">
        <f aca="false">SUM($H$5:H10)</f>
        <v>1</v>
      </c>
      <c r="K10" s="0" t="str">
        <f aca="false">设置!A18</f>
        <v>计划保养</v>
      </c>
      <c r="L10" s="11" t="n">
        <f aca="false">IF(COUNT(停机记录!C2:C301)&gt;0,SUMIFS(停机记录!C2:C301,停机记录!B2:B301,K10),SUMIFS(每日记录!C2:C32,每日记录!F2:F32,K10))+ROW()/100000</f>
        <v>0.0001</v>
      </c>
    </row>
    <row r="11" customFormat="false" ht="15" hidden="false" customHeight="false" outlineLevel="0" collapsed="false">
      <c r="A11" s="6" t="s">
        <v>15</v>
      </c>
      <c r="B11" s="13" t="n">
        <f aca="false">IFERROR(SUM(每日记录!E2:E32)/SUM(每日记录!D2:D32),0)</f>
        <v>0.980250080153896</v>
      </c>
      <c r="E11" s="8" t="n">
        <v>7</v>
      </c>
      <c r="F11" s="8" t="str">
        <f aca="false">IF(G11=0,"-",INDEX($K$5:$K$12,MATCH(LARGE($L$5:$L$12,E11),$L$5:$L$12,0)))</f>
        <v>-</v>
      </c>
      <c r="G11" s="9" t="n">
        <f aca="false">ROUND(LARGE($L$5:$L$12,E11),0)</f>
        <v>0</v>
      </c>
      <c r="H11" s="10" t="n">
        <f aca="false">IFERROR(G11/SUM($G$5:$G$12),0)</f>
        <v>0</v>
      </c>
      <c r="I11" s="10" t="n">
        <f aca="false">SUM($H$5:H11)</f>
        <v>1</v>
      </c>
      <c r="K11" s="0" t="str">
        <f aca="false">设置!A19</f>
        <v>小停机</v>
      </c>
      <c r="L11" s="11" t="n">
        <f aca="false">IF(COUNT(停机记录!C2:C301)&gt;0,SUMIFS(停机记录!C2:C301,停机记录!B2:B301,K11),SUMIFS(每日记录!C2:C32,每日记录!F2:F32,K11))+ROW()/100000</f>
        <v>75.00011</v>
      </c>
    </row>
    <row r="12" customFormat="false" ht="15" hidden="false" customHeight="false" outlineLevel="0" collapsed="false">
      <c r="A12" s="14" t="s">
        <v>16</v>
      </c>
      <c r="B12" s="13" t="n">
        <f aca="false">B9*B10*B11</f>
        <v>0.772070707070707</v>
      </c>
      <c r="E12" s="8" t="n">
        <v>8</v>
      </c>
      <c r="F12" s="8" t="str">
        <f aca="false">IF(G12=0,"-",INDEX($K$5:$K$12,MATCH(LARGE($L$5:$L$12,E12),$L$5:$L$12,0)))</f>
        <v>-</v>
      </c>
      <c r="G12" s="9" t="n">
        <f aca="false">ROUND(LARGE($L$5:$L$12,E12),0)</f>
        <v>0</v>
      </c>
      <c r="H12" s="10" t="n">
        <f aca="false">IFERROR(G12/SUM($G$5:$G$12),0)</f>
        <v>0</v>
      </c>
      <c r="I12" s="10" t="n">
        <f aca="false">SUM($H$5:H12)</f>
        <v>1</v>
      </c>
      <c r="K12" s="0" t="str">
        <f aca="false">设置!A20</f>
        <v>其他</v>
      </c>
      <c r="L12" s="11" t="n">
        <f aca="false">IF(COUNT(停机记录!C2:C301)&gt;0,SUMIFS(停机记录!C2:C301,停机记录!B2:B301,K12),SUMIFS(每日记录!C2:C32,每日记录!F2:F32,K12))+ROW()/100000</f>
        <v>0.00012</v>
      </c>
    </row>
    <row r="13" customFormat="false" ht="15" hidden="false" customHeight="false" outlineLevel="0" collapsed="false">
      <c r="A13" s="14" t="s">
        <v>17</v>
      </c>
      <c r="B13" s="15" t="n">
        <f aca="false">设置!B8</f>
        <v>0.75</v>
      </c>
    </row>
    <row r="14" customFormat="false" ht="15" hidden="false" customHeight="false" outlineLevel="0" collapsed="false">
      <c r="A14" s="6" t="s">
        <v>18</v>
      </c>
      <c r="B14" s="13" t="n">
        <f aca="false">IFERROR(SUM(每日记录!O2:O32)/SUM(每日记录!D2:D32),0)</f>
        <v>0.0197499198461045</v>
      </c>
      <c r="E14" s="2" t="s">
        <v>19</v>
      </c>
    </row>
    <row r="15" customFormat="false" ht="15" hidden="false" customHeight="false" outlineLevel="0" collapsed="false">
      <c r="A15" s="6" t="s">
        <v>20</v>
      </c>
      <c r="B15" s="16" t="n">
        <f aca="false">SUM(每日记录!C2:C32)/60</f>
        <v>13.3333333333333</v>
      </c>
    </row>
    <row r="16" customFormat="false" ht="15" hidden="false" customHeight="false" outlineLevel="0" collapsed="false">
      <c r="A16" s="6" t="s">
        <v>21</v>
      </c>
      <c r="B16" s="17" t="str">
        <f aca="false">IFERROR(INDEX($F$5:$F$12,1),"-")</f>
        <v>故障</v>
      </c>
    </row>
  </sheetData>
  <conditionalFormatting sqref="B12">
    <cfRule type="cellIs" priority="2" operator="lessThan" aboveAverage="0" equalAverage="0" bottom="0" percent="0" rank="0" text="" dxfId="0">
      <formula>$B$13</formula>
    </cfRule>
    <cfRule type="cellIs" priority="3" operator="greaterThanOrEqual" aboveAverage="0" equalAverage="0" bottom="0" percent="0" rank="0" text="" dxfId="1">
      <formula>$B$13</formula>
    </cfRule>
  </conditionalFormatting>
  <conditionalFormatting sqref="B14">
    <cfRule type="cellIs" priority="4" operator="greaterThan" aboveAverage="0" equalAverage="0" bottom="0" percent="0" rank="0" text="" dxfId="0">
      <formula>设置!$B$9</formula>
    </cfRule>
  </conditionalFormatting>
  <conditionalFormatting sqref="B8">
    <cfRule type="cellIs" priority="5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B44"/>
    <pageSetUpPr fitToPage="tru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3.8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</row>
    <row r="5" customFormat="false" ht="15" hidden="false" customHeight="false" outlineLevel="0" collapsed="false">
      <c r="A5" s="18" t="s">
        <v>25</v>
      </c>
    </row>
    <row r="6" customFormat="false" ht="15" hidden="false" customHeight="false" outlineLevel="0" collapsed="false">
      <c r="A6" s="18" t="s">
        <v>26</v>
      </c>
    </row>
    <row r="7" customFormat="false" ht="15" hidden="false" customHeight="false" outlineLevel="0" collapsed="false">
      <c r="A7" s="18" t="s">
        <v>27</v>
      </c>
    </row>
    <row r="8" customFormat="false" ht="15" hidden="false" customHeight="false" outlineLevel="0" collapsed="false">
      <c r="A8" s="18" t="s">
        <v>28</v>
      </c>
    </row>
    <row r="10" customFormat="false" ht="15" hidden="false" customHeight="false" outlineLevel="0" collapsed="false">
      <c r="A10" s="3" t="s">
        <v>29</v>
      </c>
    </row>
    <row r="11" customFormat="false" ht="15" hidden="false" customHeight="false" outlineLevel="0" collapsed="false">
      <c r="A11" s="19" t="s">
        <v>30</v>
      </c>
    </row>
    <row r="12" customFormat="false" ht="15" hidden="false" customHeight="false" outlineLevel="0" collapsed="false">
      <c r="A12" s="19" t="s">
        <v>31</v>
      </c>
    </row>
    <row r="14" customFormat="false" ht="15" hidden="false" customHeight="false" outlineLevel="0" collapsed="false">
      <c r="A14" s="3" t="s">
        <v>32</v>
      </c>
    </row>
    <row r="15" customFormat="false" ht="15" hidden="false" customHeight="false" outlineLevel="0" collapsed="false">
      <c r="A15" s="19" t="s">
        <v>33</v>
      </c>
    </row>
    <row r="16" customFormat="false" ht="15" hidden="false" customHeight="false" outlineLevel="0" collapsed="false">
      <c r="A16" s="19" t="s">
        <v>34</v>
      </c>
    </row>
    <row r="17" customFormat="false" ht="15" hidden="false" customHeight="false" outlineLevel="0" collapsed="false">
      <c r="A17" s="19" t="s">
        <v>35</v>
      </c>
    </row>
    <row r="18" customFormat="false" ht="15" hidden="false" customHeight="false" outlineLevel="0" collapsed="false">
      <c r="A18" s="18" t="s">
        <v>36</v>
      </c>
    </row>
    <row r="19" customFormat="false" ht="15" hidden="false" customHeight="false" outlineLevel="0" collapsed="false">
      <c r="A19" s="19" t="s">
        <v>37</v>
      </c>
    </row>
    <row r="21" customFormat="false" ht="15" hidden="false" customHeight="false" outlineLevel="0" collapsed="false">
      <c r="A21" s="3" t="s">
        <v>38</v>
      </c>
    </row>
    <row r="22" customFormat="false" ht="15" hidden="false" customHeight="false" outlineLevel="0" collapsed="false">
      <c r="A22" s="1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40</v>
      </c>
    </row>
    <row r="3" customFormat="false" ht="15" hidden="false" customHeight="false" outlineLevel="0" collapsed="false">
      <c r="A3" s="6" t="s">
        <v>41</v>
      </c>
      <c r="B3" s="20" t="s">
        <v>42</v>
      </c>
      <c r="C3" s="2" t="s">
        <v>43</v>
      </c>
    </row>
    <row r="4" customFormat="false" ht="15" hidden="false" customHeight="false" outlineLevel="0" collapsed="false">
      <c r="A4" s="6" t="s">
        <v>44</v>
      </c>
      <c r="B4" s="21" t="n">
        <v>46296</v>
      </c>
      <c r="C4" s="2" t="s">
        <v>45</v>
      </c>
    </row>
    <row r="5" customFormat="false" ht="15" hidden="false" customHeight="false" outlineLevel="0" collapsed="false">
      <c r="A5" s="6" t="s">
        <v>46</v>
      </c>
      <c r="B5" s="20" t="n">
        <v>450</v>
      </c>
      <c r="C5" s="2" t="s">
        <v>47</v>
      </c>
    </row>
    <row r="6" customFormat="false" ht="15" hidden="false" customHeight="false" outlineLevel="0" collapsed="false">
      <c r="A6" s="6" t="s">
        <v>48</v>
      </c>
      <c r="B6" s="20" t="n">
        <v>30</v>
      </c>
      <c r="C6" s="2" t="s">
        <v>49</v>
      </c>
    </row>
    <row r="7" customFormat="false" ht="15" hidden="false" customHeight="false" outlineLevel="0" collapsed="false">
      <c r="A7" s="6" t="s">
        <v>50</v>
      </c>
      <c r="B7" s="20" t="n">
        <v>780</v>
      </c>
      <c r="C7" s="2" t="s">
        <v>51</v>
      </c>
    </row>
    <row r="8" customFormat="false" ht="15" hidden="false" customHeight="false" outlineLevel="0" collapsed="false">
      <c r="A8" s="14" t="s">
        <v>17</v>
      </c>
      <c r="B8" s="22" t="n">
        <v>0.75</v>
      </c>
      <c r="C8" s="2" t="s">
        <v>52</v>
      </c>
    </row>
    <row r="9" customFormat="false" ht="15" hidden="false" customHeight="false" outlineLevel="0" collapsed="false">
      <c r="A9" s="6" t="s">
        <v>53</v>
      </c>
      <c r="B9" s="23" t="n">
        <v>0.02</v>
      </c>
      <c r="C9" s="2" t="s">
        <v>51</v>
      </c>
    </row>
    <row r="12" customFormat="false" ht="15" hidden="false" customHeight="false" outlineLevel="0" collapsed="false">
      <c r="A12" s="3" t="s">
        <v>54</v>
      </c>
    </row>
    <row r="13" customFormat="false" ht="15" hidden="false" customHeight="false" outlineLevel="0" collapsed="false">
      <c r="A13" s="24" t="s">
        <v>55</v>
      </c>
    </row>
    <row r="14" customFormat="false" ht="15" hidden="false" customHeight="false" outlineLevel="0" collapsed="false">
      <c r="A14" s="24" t="s">
        <v>56</v>
      </c>
    </row>
    <row r="15" customFormat="false" ht="15" hidden="false" customHeight="false" outlineLevel="0" collapsed="false">
      <c r="A15" s="24" t="s">
        <v>57</v>
      </c>
    </row>
    <row r="16" customFormat="false" ht="15" hidden="false" customHeight="false" outlineLevel="0" collapsed="false">
      <c r="A16" s="24" t="s">
        <v>58</v>
      </c>
    </row>
    <row r="17" customFormat="false" ht="15" hidden="false" customHeight="false" outlineLevel="0" collapsed="false">
      <c r="A17" s="24" t="s">
        <v>59</v>
      </c>
    </row>
    <row r="18" customFormat="false" ht="15" hidden="false" customHeight="false" outlineLevel="0" collapsed="false">
      <c r="A18" s="24" t="s">
        <v>60</v>
      </c>
    </row>
    <row r="19" customFormat="false" ht="15" hidden="false" customHeight="false" outlineLevel="0" collapsed="false">
      <c r="A19" s="24" t="s">
        <v>61</v>
      </c>
    </row>
    <row r="20" customFormat="false" ht="15" hidden="false" customHeight="false" outlineLevel="0" collapsed="false">
      <c r="A20" s="2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1"/>
    <col collapsed="false" customWidth="true" hidden="false" outlineLevel="0" max="7" min="6" style="0" width="22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5" min="14" style="0" width="10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25" t="s">
        <v>63</v>
      </c>
      <c r="B1" s="25" t="s">
        <v>64</v>
      </c>
      <c r="C1" s="25" t="s">
        <v>65</v>
      </c>
      <c r="D1" s="25" t="s">
        <v>66</v>
      </c>
      <c r="E1" s="25" t="s">
        <v>67</v>
      </c>
      <c r="F1" s="25" t="s">
        <v>68</v>
      </c>
      <c r="G1" s="25" t="s">
        <v>69</v>
      </c>
      <c r="H1" s="25" t="s">
        <v>70</v>
      </c>
      <c r="I1" s="25" t="s">
        <v>13</v>
      </c>
      <c r="J1" s="25" t="s">
        <v>14</v>
      </c>
      <c r="K1" s="25" t="s">
        <v>15</v>
      </c>
      <c r="L1" s="26" t="s">
        <v>16</v>
      </c>
      <c r="M1" s="25" t="s">
        <v>11</v>
      </c>
      <c r="N1" s="25" t="s">
        <v>12</v>
      </c>
      <c r="O1" s="25" t="s">
        <v>71</v>
      </c>
      <c r="P1" s="25" t="s">
        <v>18</v>
      </c>
    </row>
    <row r="2" customFormat="false" ht="15" hidden="false" customHeight="false" outlineLevel="0" collapsed="false">
      <c r="A2" s="27" t="n">
        <f aca="false">设置!$B$4+0</f>
        <v>46296</v>
      </c>
      <c r="B2" s="28" t="n">
        <f aca="false">IF(C2="","",设置!$B$5)</f>
        <v>450</v>
      </c>
      <c r="C2" s="20" t="n">
        <v>30</v>
      </c>
      <c r="D2" s="29" t="n">
        <v>774</v>
      </c>
      <c r="E2" s="29" t="n">
        <v>760</v>
      </c>
      <c r="F2" s="24" t="s">
        <v>55</v>
      </c>
      <c r="G2" s="20"/>
      <c r="H2" s="9" t="n">
        <f aca="false">IF(C2="","",B2-C2)</f>
        <v>420</v>
      </c>
      <c r="I2" s="30" t="n">
        <f aca="false">IF(C2="","",IFERROR(H2/B2,0))</f>
        <v>0.933333333333333</v>
      </c>
      <c r="J2" s="30" t="n">
        <f aca="false">IF(C2="","",IFERROR(设置!$B$6*D2/(H2*60),0))</f>
        <v>0.921428571428571</v>
      </c>
      <c r="K2" s="30" t="n">
        <f aca="false">IF(C2="","",IFERROR(E2/D2,0))</f>
        <v>0.981912144702842</v>
      </c>
      <c r="L2" s="30" t="n">
        <f aca="false">IF(C2="","",I2*J2*K2)</f>
        <v>0.844444444444444</v>
      </c>
      <c r="M2" s="9" t="n">
        <f aca="false">IF(C2="","",设置!$B$7)</f>
        <v>780</v>
      </c>
      <c r="N2" s="30" t="n">
        <f aca="false">IF(C2="","",IFERROR(E2/M2,0))</f>
        <v>0.974358974358974</v>
      </c>
      <c r="O2" s="9" t="n">
        <f aca="false">IF(C2="","",D2-E2)</f>
        <v>14</v>
      </c>
      <c r="P2" s="30" t="n">
        <f aca="false">IF(C2="","",IFERROR(O2/D2,0))</f>
        <v>0.0180878552971576</v>
      </c>
    </row>
    <row r="3" customFormat="false" ht="15" hidden="false" customHeight="false" outlineLevel="0" collapsed="false">
      <c r="A3" s="27" t="n">
        <f aca="false">设置!$B$4+1</f>
        <v>46297</v>
      </c>
      <c r="B3" s="28" t="n">
        <f aca="false">IF(C3="","",设置!$B$5)</f>
        <v>450</v>
      </c>
      <c r="C3" s="20" t="n">
        <v>45</v>
      </c>
      <c r="D3" s="29" t="n">
        <v>643</v>
      </c>
      <c r="E3" s="29" t="n">
        <v>628</v>
      </c>
      <c r="F3" s="24" t="s">
        <v>61</v>
      </c>
      <c r="G3" s="20"/>
      <c r="H3" s="9" t="n">
        <f aca="false">IF(C3="","",B3-C3)</f>
        <v>405</v>
      </c>
      <c r="I3" s="30" t="n">
        <f aca="false">IF(C3="","",IFERROR(H3/B3,0))</f>
        <v>0.9</v>
      </c>
      <c r="J3" s="30" t="n">
        <f aca="false">IF(C3="","",IFERROR(设置!$B$6*D3/(H3*60),0))</f>
        <v>0.793827160493827</v>
      </c>
      <c r="K3" s="30" t="n">
        <f aca="false">IF(C3="","",IFERROR(E3/D3,0))</f>
        <v>0.976671850699845</v>
      </c>
      <c r="L3" s="30" t="n">
        <f aca="false">IF(C3="","",I3*J3*K3)</f>
        <v>0.697777777777778</v>
      </c>
      <c r="M3" s="9" t="n">
        <f aca="false">IF(C3="","",设置!$B$7)</f>
        <v>780</v>
      </c>
      <c r="N3" s="30" t="n">
        <f aca="false">IF(C3="","",IFERROR(E3/M3,0))</f>
        <v>0.805128205128205</v>
      </c>
      <c r="O3" s="9" t="n">
        <f aca="false">IF(C3="","",D3-E3)</f>
        <v>15</v>
      </c>
      <c r="P3" s="30" t="n">
        <f aca="false">IF(C3="","",IFERROR(O3/D3,0))</f>
        <v>0.0233281493001555</v>
      </c>
    </row>
    <row r="4" customFormat="false" ht="15" hidden="false" customHeight="false" outlineLevel="0" collapsed="false">
      <c r="A4" s="27" t="n">
        <f aca="false">设置!$B$4+2</f>
        <v>46298</v>
      </c>
      <c r="B4" s="28" t="str">
        <f aca="false">IF(C4="","",设置!$B$5)</f>
        <v/>
      </c>
      <c r="C4" s="20"/>
      <c r="D4" s="29"/>
      <c r="E4" s="29"/>
      <c r="F4" s="24"/>
      <c r="G4" s="20"/>
      <c r="H4" s="9" t="str">
        <f aca="false">IF(C4="","",B4-C4)</f>
        <v/>
      </c>
      <c r="I4" s="30" t="str">
        <f aca="false">IF(C4="","",IFERROR(H4/B4,0))</f>
        <v/>
      </c>
      <c r="J4" s="30" t="str">
        <f aca="false">IF(C4="","",IFERROR(设置!$B$6*D4/(H4*60),0))</f>
        <v/>
      </c>
      <c r="K4" s="30" t="str">
        <f aca="false">IF(C4="","",IFERROR(E4/D4,0))</f>
        <v/>
      </c>
      <c r="L4" s="30" t="str">
        <f aca="false">IF(C4="","",I4*J4*K4)</f>
        <v/>
      </c>
      <c r="M4" s="9" t="str">
        <f aca="false">IF(C4="","",设置!$B$7)</f>
        <v/>
      </c>
      <c r="N4" s="30" t="str">
        <f aca="false">IF(C4="","",IFERROR(E4/M4,0))</f>
        <v/>
      </c>
      <c r="O4" s="9" t="str">
        <f aca="false">IF(C4="","",D4-E4)</f>
        <v/>
      </c>
      <c r="P4" s="30" t="str">
        <f aca="false">IF(C4="","",IFERROR(O4/D4,0))</f>
        <v/>
      </c>
    </row>
    <row r="5" customFormat="false" ht="15" hidden="false" customHeight="false" outlineLevel="0" collapsed="false">
      <c r="A5" s="27" t="n">
        <f aca="false">设置!$B$4+3</f>
        <v>46299</v>
      </c>
      <c r="B5" s="28" t="str">
        <f aca="false">IF(C5="","",设置!$B$5)</f>
        <v/>
      </c>
      <c r="C5" s="20"/>
      <c r="D5" s="29"/>
      <c r="E5" s="29"/>
      <c r="F5" s="24"/>
      <c r="G5" s="20"/>
      <c r="H5" s="9" t="str">
        <f aca="false">IF(C5="","",B5-C5)</f>
        <v/>
      </c>
      <c r="I5" s="30" t="str">
        <f aca="false">IF(C5="","",IFERROR(H5/B5,0))</f>
        <v/>
      </c>
      <c r="J5" s="30" t="str">
        <f aca="false">IF(C5="","",IFERROR(设置!$B$6*D5/(H5*60),0))</f>
        <v/>
      </c>
      <c r="K5" s="30" t="str">
        <f aca="false">IF(C5="","",IFERROR(E5/D5,0))</f>
        <v/>
      </c>
      <c r="L5" s="30" t="str">
        <f aca="false">IF(C5="","",I5*J5*K5)</f>
        <v/>
      </c>
      <c r="M5" s="9" t="str">
        <f aca="false">IF(C5="","",设置!$B$7)</f>
        <v/>
      </c>
      <c r="N5" s="30" t="str">
        <f aca="false">IF(C5="","",IFERROR(E5/M5,0))</f>
        <v/>
      </c>
      <c r="O5" s="9" t="str">
        <f aca="false">IF(C5="","",D5-E5)</f>
        <v/>
      </c>
      <c r="P5" s="30" t="str">
        <f aca="false">IF(C5="","",IFERROR(O5/D5,0))</f>
        <v/>
      </c>
    </row>
    <row r="6" customFormat="false" ht="15" hidden="false" customHeight="false" outlineLevel="0" collapsed="false">
      <c r="A6" s="27" t="n">
        <f aca="false">设置!$B$4+4</f>
        <v>46300</v>
      </c>
      <c r="B6" s="28" t="n">
        <f aca="false">IF(C6="","",设置!$B$5)</f>
        <v>450</v>
      </c>
      <c r="C6" s="20" t="n">
        <v>40</v>
      </c>
      <c r="D6" s="29" t="n">
        <v>644</v>
      </c>
      <c r="E6" s="29" t="n">
        <v>632</v>
      </c>
      <c r="F6" s="24" t="s">
        <v>55</v>
      </c>
      <c r="G6" s="20"/>
      <c r="H6" s="9" t="n">
        <f aca="false">IF(C6="","",B6-C6)</f>
        <v>410</v>
      </c>
      <c r="I6" s="30" t="n">
        <f aca="false">IF(C6="","",IFERROR(H6/B6,0))</f>
        <v>0.911111111111111</v>
      </c>
      <c r="J6" s="30" t="n">
        <f aca="false">IF(C6="","",IFERROR(设置!$B$6*D6/(H6*60),0))</f>
        <v>0.785365853658537</v>
      </c>
      <c r="K6" s="30" t="n">
        <f aca="false">IF(C6="","",IFERROR(E6/D6,0))</f>
        <v>0.981366459627329</v>
      </c>
      <c r="L6" s="30" t="n">
        <f aca="false">IF(C6="","",I6*J6*K6)</f>
        <v>0.702222222222222</v>
      </c>
      <c r="M6" s="9" t="n">
        <f aca="false">IF(C6="","",设置!$B$7)</f>
        <v>780</v>
      </c>
      <c r="N6" s="30" t="n">
        <f aca="false">IF(C6="","",IFERROR(E6/M6,0))</f>
        <v>0.81025641025641</v>
      </c>
      <c r="O6" s="9" t="n">
        <f aca="false">IF(C6="","",D6-E6)</f>
        <v>12</v>
      </c>
      <c r="P6" s="30" t="n">
        <f aca="false">IF(C6="","",IFERROR(O6/D6,0))</f>
        <v>0.0186335403726708</v>
      </c>
    </row>
    <row r="7" customFormat="false" ht="15" hidden="false" customHeight="false" outlineLevel="0" collapsed="false">
      <c r="A7" s="27" t="n">
        <f aca="false">设置!$B$4+5</f>
        <v>46301</v>
      </c>
      <c r="B7" s="28" t="n">
        <f aca="false">IF(C7="","",设置!$B$5)</f>
        <v>450</v>
      </c>
      <c r="C7" s="20" t="n">
        <v>25</v>
      </c>
      <c r="D7" s="29" t="n">
        <v>733</v>
      </c>
      <c r="E7" s="29" t="n">
        <v>726</v>
      </c>
      <c r="F7" s="24" t="s">
        <v>57</v>
      </c>
      <c r="G7" s="20"/>
      <c r="H7" s="9" t="n">
        <f aca="false">IF(C7="","",B7-C7)</f>
        <v>425</v>
      </c>
      <c r="I7" s="30" t="n">
        <f aca="false">IF(C7="","",IFERROR(H7/B7,0))</f>
        <v>0.944444444444444</v>
      </c>
      <c r="J7" s="30" t="n">
        <f aca="false">IF(C7="","",IFERROR(设置!$B$6*D7/(H7*60),0))</f>
        <v>0.862352941176471</v>
      </c>
      <c r="K7" s="30" t="n">
        <f aca="false">IF(C7="","",IFERROR(E7/D7,0))</f>
        <v>0.990450204638472</v>
      </c>
      <c r="L7" s="30" t="n">
        <f aca="false">IF(C7="","",I7*J7*K7)</f>
        <v>0.806666666666667</v>
      </c>
      <c r="M7" s="9" t="n">
        <f aca="false">IF(C7="","",设置!$B$7)</f>
        <v>780</v>
      </c>
      <c r="N7" s="30" t="n">
        <f aca="false">IF(C7="","",IFERROR(E7/M7,0))</f>
        <v>0.930769230769231</v>
      </c>
      <c r="O7" s="9" t="n">
        <f aca="false">IF(C7="","",D7-E7)</f>
        <v>7</v>
      </c>
      <c r="P7" s="30" t="n">
        <f aca="false">IF(C7="","",IFERROR(O7/D7,0))</f>
        <v>0.00954979536152797</v>
      </c>
    </row>
    <row r="8" customFormat="false" ht="15" hidden="false" customHeight="false" outlineLevel="0" collapsed="false">
      <c r="A8" s="27" t="n">
        <f aca="false">设置!$B$4+6</f>
        <v>46302</v>
      </c>
      <c r="B8" s="28" t="n">
        <f aca="false">IF(C8="","",设置!$B$5)</f>
        <v>450</v>
      </c>
      <c r="C8" s="20" t="n">
        <v>40</v>
      </c>
      <c r="D8" s="29" t="n">
        <v>717</v>
      </c>
      <c r="E8" s="29" t="n">
        <v>700</v>
      </c>
      <c r="F8" s="24" t="s">
        <v>55</v>
      </c>
      <c r="G8" s="20"/>
      <c r="H8" s="9" t="n">
        <f aca="false">IF(C8="","",B8-C8)</f>
        <v>410</v>
      </c>
      <c r="I8" s="30" t="n">
        <f aca="false">IF(C8="","",IFERROR(H8/B8,0))</f>
        <v>0.911111111111111</v>
      </c>
      <c r="J8" s="30" t="n">
        <f aca="false">IF(C8="","",IFERROR(设置!$B$6*D8/(H8*60),0))</f>
        <v>0.874390243902439</v>
      </c>
      <c r="K8" s="30" t="n">
        <f aca="false">IF(C8="","",IFERROR(E8/D8,0))</f>
        <v>0.97629009762901</v>
      </c>
      <c r="L8" s="30" t="n">
        <f aca="false">IF(C8="","",I8*J8*K8)</f>
        <v>0.777777777777778</v>
      </c>
      <c r="M8" s="9" t="n">
        <f aca="false">IF(C8="","",设置!$B$7)</f>
        <v>780</v>
      </c>
      <c r="N8" s="30" t="n">
        <f aca="false">IF(C8="","",IFERROR(E8/M8,0))</f>
        <v>0.897435897435898</v>
      </c>
      <c r="O8" s="9" t="n">
        <f aca="false">IF(C8="","",D8-E8)</f>
        <v>17</v>
      </c>
      <c r="P8" s="30" t="n">
        <f aca="false">IF(C8="","",IFERROR(O8/D8,0))</f>
        <v>0.0237099023709902</v>
      </c>
    </row>
    <row r="9" customFormat="false" ht="15" hidden="false" customHeight="false" outlineLevel="0" collapsed="false">
      <c r="A9" s="27" t="n">
        <f aca="false">设置!$B$4+7</f>
        <v>46303</v>
      </c>
      <c r="B9" s="28" t="n">
        <f aca="false">IF(C9="","",设置!$B$5)</f>
        <v>450</v>
      </c>
      <c r="C9" s="20" t="n">
        <v>90</v>
      </c>
      <c r="D9" s="29" t="n">
        <v>604</v>
      </c>
      <c r="E9" s="29" t="n">
        <v>584</v>
      </c>
      <c r="F9" s="24" t="s">
        <v>55</v>
      </c>
      <c r="G9" s="20"/>
      <c r="H9" s="9" t="n">
        <f aca="false">IF(C9="","",B9-C9)</f>
        <v>360</v>
      </c>
      <c r="I9" s="30" t="n">
        <f aca="false">IF(C9="","",IFERROR(H9/B9,0))</f>
        <v>0.8</v>
      </c>
      <c r="J9" s="30" t="n">
        <f aca="false">IF(C9="","",IFERROR(设置!$B$6*D9/(H9*60),0))</f>
        <v>0.838888888888889</v>
      </c>
      <c r="K9" s="30" t="n">
        <f aca="false">IF(C9="","",IFERROR(E9/D9,0))</f>
        <v>0.966887417218543</v>
      </c>
      <c r="L9" s="30" t="n">
        <f aca="false">IF(C9="","",I9*J9*K9)</f>
        <v>0.648888888888889</v>
      </c>
      <c r="M9" s="9" t="n">
        <f aca="false">IF(C9="","",设置!$B$7)</f>
        <v>780</v>
      </c>
      <c r="N9" s="30" t="n">
        <f aca="false">IF(C9="","",IFERROR(E9/M9,0))</f>
        <v>0.748717948717949</v>
      </c>
      <c r="O9" s="9" t="n">
        <f aca="false">IF(C9="","",D9-E9)</f>
        <v>20</v>
      </c>
      <c r="P9" s="30" t="n">
        <f aca="false">IF(C9="","",IFERROR(O9/D9,0))</f>
        <v>0.033112582781457</v>
      </c>
    </row>
    <row r="10" customFormat="false" ht="15" hidden="false" customHeight="false" outlineLevel="0" collapsed="false">
      <c r="A10" s="27" t="n">
        <f aca="false">设置!$B$4+8</f>
        <v>46304</v>
      </c>
      <c r="B10" s="28" t="n">
        <f aca="false">IF(C10="","",设置!$B$5)</f>
        <v>450</v>
      </c>
      <c r="C10" s="20" t="n">
        <v>35</v>
      </c>
      <c r="D10" s="29" t="n">
        <v>683</v>
      </c>
      <c r="E10" s="29" t="n">
        <v>675</v>
      </c>
      <c r="F10" s="24" t="s">
        <v>55</v>
      </c>
      <c r="G10" s="20"/>
      <c r="H10" s="9" t="n">
        <f aca="false">IF(C10="","",B10-C10)</f>
        <v>415</v>
      </c>
      <c r="I10" s="30" t="n">
        <f aca="false">IF(C10="","",IFERROR(H10/B10,0))</f>
        <v>0.922222222222222</v>
      </c>
      <c r="J10" s="30" t="n">
        <f aca="false">IF(C10="","",IFERROR(设置!$B$6*D10/(H10*60),0))</f>
        <v>0.82289156626506</v>
      </c>
      <c r="K10" s="30" t="n">
        <f aca="false">IF(C10="","",IFERROR(E10/D10,0))</f>
        <v>0.988286969253294</v>
      </c>
      <c r="L10" s="30" t="n">
        <f aca="false">IF(C10="","",I10*J10*K10)</f>
        <v>0.75</v>
      </c>
      <c r="M10" s="9" t="n">
        <f aca="false">IF(C10="","",设置!$B$7)</f>
        <v>780</v>
      </c>
      <c r="N10" s="30" t="n">
        <f aca="false">IF(C10="","",IFERROR(E10/M10,0))</f>
        <v>0.865384615384615</v>
      </c>
      <c r="O10" s="9" t="n">
        <f aca="false">IF(C10="","",D10-E10)</f>
        <v>8</v>
      </c>
      <c r="P10" s="30" t="n">
        <f aca="false">IF(C10="","",IFERROR(O10/D10,0))</f>
        <v>0.0117130307467057</v>
      </c>
    </row>
    <row r="11" customFormat="false" ht="15" hidden="false" customHeight="false" outlineLevel="0" collapsed="false">
      <c r="A11" s="27" t="n">
        <f aca="false">设置!$B$4+9</f>
        <v>46305</v>
      </c>
      <c r="B11" s="28" t="str">
        <f aca="false">IF(C11="","",设置!$B$5)</f>
        <v/>
      </c>
      <c r="C11" s="20"/>
      <c r="D11" s="29"/>
      <c r="E11" s="29"/>
      <c r="F11" s="24"/>
      <c r="G11" s="20"/>
      <c r="H11" s="9" t="str">
        <f aca="false">IF(C11="","",B11-C11)</f>
        <v/>
      </c>
      <c r="I11" s="30" t="str">
        <f aca="false">IF(C11="","",IFERROR(H11/B11,0))</f>
        <v/>
      </c>
      <c r="J11" s="30" t="str">
        <f aca="false">IF(C11="","",IFERROR(设置!$B$6*D11/(H11*60),0))</f>
        <v/>
      </c>
      <c r="K11" s="30" t="str">
        <f aca="false">IF(C11="","",IFERROR(E11/D11,0))</f>
        <v/>
      </c>
      <c r="L11" s="30" t="str">
        <f aca="false">IF(C11="","",I11*J11*K11)</f>
        <v/>
      </c>
      <c r="M11" s="9" t="str">
        <f aca="false">IF(C11="","",设置!$B$7)</f>
        <v/>
      </c>
      <c r="N11" s="30" t="str">
        <f aca="false">IF(C11="","",IFERROR(E11/M11,0))</f>
        <v/>
      </c>
      <c r="O11" s="9" t="str">
        <f aca="false">IF(C11="","",D11-E11)</f>
        <v/>
      </c>
      <c r="P11" s="30" t="str">
        <f aca="false">IF(C11="","",IFERROR(O11/D11,0))</f>
        <v/>
      </c>
    </row>
    <row r="12" customFormat="false" ht="15" hidden="false" customHeight="false" outlineLevel="0" collapsed="false">
      <c r="A12" s="27" t="n">
        <f aca="false">设置!$B$4+10</f>
        <v>46306</v>
      </c>
      <c r="B12" s="28" t="str">
        <f aca="false">IF(C12="","",设置!$B$5)</f>
        <v/>
      </c>
      <c r="C12" s="20"/>
      <c r="D12" s="29"/>
      <c r="E12" s="29"/>
      <c r="F12" s="24"/>
      <c r="G12" s="20"/>
      <c r="H12" s="9" t="str">
        <f aca="false">IF(C12="","",B12-C12)</f>
        <v/>
      </c>
      <c r="I12" s="30" t="str">
        <f aca="false">IF(C12="","",IFERROR(H12/B12,0))</f>
        <v/>
      </c>
      <c r="J12" s="30" t="str">
        <f aca="false">IF(C12="","",IFERROR(设置!$B$6*D12/(H12*60),0))</f>
        <v/>
      </c>
      <c r="K12" s="30" t="str">
        <f aca="false">IF(C12="","",IFERROR(E12/D12,0))</f>
        <v/>
      </c>
      <c r="L12" s="30" t="str">
        <f aca="false">IF(C12="","",I12*J12*K12)</f>
        <v/>
      </c>
      <c r="M12" s="9" t="str">
        <f aca="false">IF(C12="","",设置!$B$7)</f>
        <v/>
      </c>
      <c r="N12" s="30" t="str">
        <f aca="false">IF(C12="","",IFERROR(E12/M12,0))</f>
        <v/>
      </c>
      <c r="O12" s="9" t="str">
        <f aca="false">IF(C12="","",D12-E12)</f>
        <v/>
      </c>
      <c r="P12" s="30" t="str">
        <f aca="false">IF(C12="","",IFERROR(O12/D12,0))</f>
        <v/>
      </c>
    </row>
    <row r="13" customFormat="false" ht="15" hidden="false" customHeight="false" outlineLevel="0" collapsed="false">
      <c r="A13" s="27" t="n">
        <f aca="false">设置!$B$4+11</f>
        <v>46307</v>
      </c>
      <c r="B13" s="28" t="n">
        <f aca="false">IF(C13="","",设置!$B$5)</f>
        <v>450</v>
      </c>
      <c r="C13" s="20" t="n">
        <v>55</v>
      </c>
      <c r="D13" s="29" t="n">
        <v>682</v>
      </c>
      <c r="E13" s="29" t="n">
        <v>664</v>
      </c>
      <c r="F13" s="24" t="s">
        <v>55</v>
      </c>
      <c r="G13" s="20"/>
      <c r="H13" s="9" t="n">
        <f aca="false">IF(C13="","",B13-C13)</f>
        <v>395</v>
      </c>
      <c r="I13" s="30" t="n">
        <f aca="false">IF(C13="","",IFERROR(H13/B13,0))</f>
        <v>0.877777777777778</v>
      </c>
      <c r="J13" s="30" t="n">
        <f aca="false">IF(C13="","",IFERROR(设置!$B$6*D13/(H13*60),0))</f>
        <v>0.863291139240506</v>
      </c>
      <c r="K13" s="30" t="n">
        <f aca="false">IF(C13="","",IFERROR(E13/D13,0))</f>
        <v>0.973607038123167</v>
      </c>
      <c r="L13" s="30" t="n">
        <f aca="false">IF(C13="","",I13*J13*K13)</f>
        <v>0.737777777777778</v>
      </c>
      <c r="M13" s="9" t="n">
        <f aca="false">IF(C13="","",设置!$B$7)</f>
        <v>780</v>
      </c>
      <c r="N13" s="30" t="n">
        <f aca="false">IF(C13="","",IFERROR(E13/M13,0))</f>
        <v>0.851282051282051</v>
      </c>
      <c r="O13" s="9" t="n">
        <f aca="false">IF(C13="","",D13-E13)</f>
        <v>18</v>
      </c>
      <c r="P13" s="30" t="n">
        <f aca="false">IF(C13="","",IFERROR(O13/D13,0))</f>
        <v>0.0263929618768328</v>
      </c>
    </row>
    <row r="14" customFormat="false" ht="15" hidden="false" customHeight="false" outlineLevel="0" collapsed="false">
      <c r="A14" s="27" t="n">
        <f aca="false">设置!$B$4+12</f>
        <v>46308</v>
      </c>
      <c r="B14" s="28" t="n">
        <f aca="false">IF(C14="","",设置!$B$5)</f>
        <v>450</v>
      </c>
      <c r="C14" s="20" t="n">
        <v>90</v>
      </c>
      <c r="D14" s="29" t="n">
        <v>630</v>
      </c>
      <c r="E14" s="29" t="n">
        <v>619</v>
      </c>
      <c r="F14" s="24" t="s">
        <v>57</v>
      </c>
      <c r="G14" s="20"/>
      <c r="H14" s="9" t="n">
        <f aca="false">IF(C14="","",B14-C14)</f>
        <v>360</v>
      </c>
      <c r="I14" s="30" t="n">
        <f aca="false">IF(C14="","",IFERROR(H14/B14,0))</f>
        <v>0.8</v>
      </c>
      <c r="J14" s="30" t="n">
        <f aca="false">IF(C14="","",IFERROR(设置!$B$6*D14/(H14*60),0))</f>
        <v>0.875</v>
      </c>
      <c r="K14" s="30" t="n">
        <f aca="false">IF(C14="","",IFERROR(E14/D14,0))</f>
        <v>0.982539682539683</v>
      </c>
      <c r="L14" s="30" t="n">
        <f aca="false">IF(C14="","",I14*J14*K14)</f>
        <v>0.687777777777778</v>
      </c>
      <c r="M14" s="9" t="n">
        <f aca="false">IF(C14="","",设置!$B$7)</f>
        <v>780</v>
      </c>
      <c r="N14" s="30" t="n">
        <f aca="false">IF(C14="","",IFERROR(E14/M14,0))</f>
        <v>0.793589743589744</v>
      </c>
      <c r="O14" s="9" t="n">
        <f aca="false">IF(C14="","",D14-E14)</f>
        <v>11</v>
      </c>
      <c r="P14" s="30" t="n">
        <f aca="false">IF(C14="","",IFERROR(O14/D14,0))</f>
        <v>0.0174603174603175</v>
      </c>
    </row>
    <row r="15" customFormat="false" ht="15" hidden="false" customHeight="false" outlineLevel="0" collapsed="false">
      <c r="A15" s="27" t="n">
        <f aca="false">设置!$B$4+13</f>
        <v>46309</v>
      </c>
      <c r="B15" s="28" t="n">
        <f aca="false">IF(C15="","",设置!$B$5)</f>
        <v>450</v>
      </c>
      <c r="C15" s="20" t="n">
        <v>25</v>
      </c>
      <c r="D15" s="29" t="n">
        <v>734</v>
      </c>
      <c r="E15" s="29" t="n">
        <v>716</v>
      </c>
      <c r="F15" s="24" t="s">
        <v>57</v>
      </c>
      <c r="G15" s="20"/>
      <c r="H15" s="9" t="n">
        <f aca="false">IF(C15="","",B15-C15)</f>
        <v>425</v>
      </c>
      <c r="I15" s="30" t="n">
        <f aca="false">IF(C15="","",IFERROR(H15/B15,0))</f>
        <v>0.944444444444444</v>
      </c>
      <c r="J15" s="30" t="n">
        <f aca="false">IF(C15="","",IFERROR(设置!$B$6*D15/(H15*60),0))</f>
        <v>0.863529411764706</v>
      </c>
      <c r="K15" s="30" t="n">
        <f aca="false">IF(C15="","",IFERROR(E15/D15,0))</f>
        <v>0.975476839237057</v>
      </c>
      <c r="L15" s="30" t="n">
        <f aca="false">IF(C15="","",I15*J15*K15)</f>
        <v>0.795555555555556</v>
      </c>
      <c r="M15" s="9" t="n">
        <f aca="false">IF(C15="","",设置!$B$7)</f>
        <v>780</v>
      </c>
      <c r="N15" s="30" t="n">
        <f aca="false">IF(C15="","",IFERROR(E15/M15,0))</f>
        <v>0.917948717948718</v>
      </c>
      <c r="O15" s="9" t="n">
        <f aca="false">IF(C15="","",D15-E15)</f>
        <v>18</v>
      </c>
      <c r="P15" s="30" t="n">
        <f aca="false">IF(C15="","",IFERROR(O15/D15,0))</f>
        <v>0.0245231607629428</v>
      </c>
    </row>
    <row r="16" customFormat="false" ht="15" hidden="false" customHeight="false" outlineLevel="0" collapsed="false">
      <c r="A16" s="27" t="n">
        <f aca="false">设置!$B$4+14</f>
        <v>46310</v>
      </c>
      <c r="B16" s="28" t="n">
        <f aca="false">IF(C16="","",设置!$B$5)</f>
        <v>450</v>
      </c>
      <c r="C16" s="20" t="n">
        <v>45</v>
      </c>
      <c r="D16" s="29" t="n">
        <v>683</v>
      </c>
      <c r="E16" s="29" t="n">
        <v>672</v>
      </c>
      <c r="F16" s="24" t="s">
        <v>57</v>
      </c>
      <c r="G16" s="20"/>
      <c r="H16" s="9" t="n">
        <f aca="false">IF(C16="","",B16-C16)</f>
        <v>405</v>
      </c>
      <c r="I16" s="30" t="n">
        <f aca="false">IF(C16="","",IFERROR(H16/B16,0))</f>
        <v>0.9</v>
      </c>
      <c r="J16" s="30" t="n">
        <f aca="false">IF(C16="","",IFERROR(设置!$B$6*D16/(H16*60),0))</f>
        <v>0.84320987654321</v>
      </c>
      <c r="K16" s="30" t="n">
        <f aca="false">IF(C16="","",IFERROR(E16/D16,0))</f>
        <v>0.98389458272328</v>
      </c>
      <c r="L16" s="30" t="n">
        <f aca="false">IF(C16="","",I16*J16*K16)</f>
        <v>0.746666666666667</v>
      </c>
      <c r="M16" s="9" t="n">
        <f aca="false">IF(C16="","",设置!$B$7)</f>
        <v>780</v>
      </c>
      <c r="N16" s="30" t="n">
        <f aca="false">IF(C16="","",IFERROR(E16/M16,0))</f>
        <v>0.861538461538462</v>
      </c>
      <c r="O16" s="9" t="n">
        <f aca="false">IF(C16="","",D16-E16)</f>
        <v>11</v>
      </c>
      <c r="P16" s="30" t="n">
        <f aca="false">IF(C16="","",IFERROR(O16/D16,0))</f>
        <v>0.0161054172767204</v>
      </c>
    </row>
    <row r="17" customFormat="false" ht="15" hidden="false" customHeight="false" outlineLevel="0" collapsed="false">
      <c r="A17" s="27" t="n">
        <f aca="false">设置!$B$4+15</f>
        <v>46311</v>
      </c>
      <c r="B17" s="28" t="n">
        <f aca="false">IF(C17="","",设置!$B$5)</f>
        <v>450</v>
      </c>
      <c r="C17" s="20" t="n">
        <v>15</v>
      </c>
      <c r="D17" s="29" t="n">
        <v>725</v>
      </c>
      <c r="E17" s="29" t="n">
        <v>715</v>
      </c>
      <c r="F17" s="24" t="s">
        <v>55</v>
      </c>
      <c r="G17" s="20"/>
      <c r="H17" s="9" t="n">
        <f aca="false">IF(C17="","",B17-C17)</f>
        <v>435</v>
      </c>
      <c r="I17" s="30" t="n">
        <f aca="false">IF(C17="","",IFERROR(H17/B17,0))</f>
        <v>0.966666666666667</v>
      </c>
      <c r="J17" s="30" t="n">
        <f aca="false">IF(C17="","",IFERROR(设置!$B$6*D17/(H17*60),0))</f>
        <v>0.833333333333333</v>
      </c>
      <c r="K17" s="30" t="n">
        <f aca="false">IF(C17="","",IFERROR(E17/D17,0))</f>
        <v>0.986206896551724</v>
      </c>
      <c r="L17" s="30" t="n">
        <f aca="false">IF(C17="","",I17*J17*K17)</f>
        <v>0.794444444444444</v>
      </c>
      <c r="M17" s="9" t="n">
        <f aca="false">IF(C17="","",设置!$B$7)</f>
        <v>780</v>
      </c>
      <c r="N17" s="30" t="n">
        <f aca="false">IF(C17="","",IFERROR(E17/M17,0))</f>
        <v>0.916666666666667</v>
      </c>
      <c r="O17" s="9" t="n">
        <f aca="false">IF(C17="","",D17-E17)</f>
        <v>10</v>
      </c>
      <c r="P17" s="30" t="n">
        <f aca="false">IF(C17="","",IFERROR(O17/D17,0))</f>
        <v>0.0137931034482759</v>
      </c>
    </row>
    <row r="18" customFormat="false" ht="15" hidden="false" customHeight="false" outlineLevel="0" collapsed="false">
      <c r="A18" s="27" t="n">
        <f aca="false">设置!$B$4+16</f>
        <v>46312</v>
      </c>
      <c r="B18" s="28" t="str">
        <f aca="false">IF(C18="","",设置!$B$5)</f>
        <v/>
      </c>
      <c r="C18" s="20"/>
      <c r="D18" s="29"/>
      <c r="E18" s="29"/>
      <c r="F18" s="24"/>
      <c r="G18" s="20"/>
      <c r="H18" s="9" t="str">
        <f aca="false">IF(C18="","",B18-C18)</f>
        <v/>
      </c>
      <c r="I18" s="30" t="str">
        <f aca="false">IF(C18="","",IFERROR(H18/B18,0))</f>
        <v/>
      </c>
      <c r="J18" s="30" t="str">
        <f aca="false">IF(C18="","",IFERROR(设置!$B$6*D18/(H18*60),0))</f>
        <v/>
      </c>
      <c r="K18" s="30" t="str">
        <f aca="false">IF(C18="","",IFERROR(E18/D18,0))</f>
        <v/>
      </c>
      <c r="L18" s="30" t="str">
        <f aca="false">IF(C18="","",I18*J18*K18)</f>
        <v/>
      </c>
      <c r="M18" s="9" t="str">
        <f aca="false">IF(C18="","",设置!$B$7)</f>
        <v/>
      </c>
      <c r="N18" s="30" t="str">
        <f aca="false">IF(C18="","",IFERROR(E18/M18,0))</f>
        <v/>
      </c>
      <c r="O18" s="9" t="str">
        <f aca="false">IF(C18="","",D18-E18)</f>
        <v/>
      </c>
      <c r="P18" s="30" t="str">
        <f aca="false">IF(C18="","",IFERROR(O18/D18,0))</f>
        <v/>
      </c>
    </row>
    <row r="19" customFormat="false" ht="15" hidden="false" customHeight="false" outlineLevel="0" collapsed="false">
      <c r="A19" s="27" t="n">
        <f aca="false">设置!$B$4+17</f>
        <v>46313</v>
      </c>
      <c r="B19" s="28" t="str">
        <f aca="false">IF(C19="","",设置!$B$5)</f>
        <v/>
      </c>
      <c r="C19" s="20"/>
      <c r="D19" s="29"/>
      <c r="E19" s="29"/>
      <c r="F19" s="24"/>
      <c r="G19" s="20"/>
      <c r="H19" s="9" t="str">
        <f aca="false">IF(C19="","",B19-C19)</f>
        <v/>
      </c>
      <c r="I19" s="30" t="str">
        <f aca="false">IF(C19="","",IFERROR(H19/B19,0))</f>
        <v/>
      </c>
      <c r="J19" s="30" t="str">
        <f aca="false">IF(C19="","",IFERROR(设置!$B$6*D19/(H19*60),0))</f>
        <v/>
      </c>
      <c r="K19" s="30" t="str">
        <f aca="false">IF(C19="","",IFERROR(E19/D19,0))</f>
        <v/>
      </c>
      <c r="L19" s="30" t="str">
        <f aca="false">IF(C19="","",I19*J19*K19)</f>
        <v/>
      </c>
      <c r="M19" s="9" t="str">
        <f aca="false">IF(C19="","",设置!$B$7)</f>
        <v/>
      </c>
      <c r="N19" s="30" t="str">
        <f aca="false">IF(C19="","",IFERROR(E19/M19,0))</f>
        <v/>
      </c>
      <c r="O19" s="9" t="str">
        <f aca="false">IF(C19="","",D19-E19)</f>
        <v/>
      </c>
      <c r="P19" s="30" t="str">
        <f aca="false">IF(C19="","",IFERROR(O19/D19,0))</f>
        <v/>
      </c>
    </row>
    <row r="20" customFormat="false" ht="15" hidden="false" customHeight="false" outlineLevel="0" collapsed="false">
      <c r="A20" s="27" t="n">
        <f aca="false">设置!$B$4+18</f>
        <v>46314</v>
      </c>
      <c r="B20" s="28" t="n">
        <f aca="false">IF(C20="","",设置!$B$5)</f>
        <v>450</v>
      </c>
      <c r="C20" s="20" t="n">
        <v>40</v>
      </c>
      <c r="D20" s="29" t="n">
        <v>649</v>
      </c>
      <c r="E20" s="29" t="n">
        <v>639</v>
      </c>
      <c r="F20" s="24" t="s">
        <v>57</v>
      </c>
      <c r="G20" s="20"/>
      <c r="H20" s="9" t="n">
        <f aca="false">IF(C20="","",B20-C20)</f>
        <v>410</v>
      </c>
      <c r="I20" s="30" t="n">
        <f aca="false">IF(C20="","",IFERROR(H20/B20,0))</f>
        <v>0.911111111111111</v>
      </c>
      <c r="J20" s="30" t="n">
        <f aca="false">IF(C20="","",IFERROR(设置!$B$6*D20/(H20*60),0))</f>
        <v>0.791463414634146</v>
      </c>
      <c r="K20" s="30" t="n">
        <f aca="false">IF(C20="","",IFERROR(E20/D20,0))</f>
        <v>0.984591679506934</v>
      </c>
      <c r="L20" s="30" t="n">
        <f aca="false">IF(C20="","",I20*J20*K20)</f>
        <v>0.71</v>
      </c>
      <c r="M20" s="9" t="n">
        <f aca="false">IF(C20="","",设置!$B$7)</f>
        <v>780</v>
      </c>
      <c r="N20" s="30" t="n">
        <f aca="false">IF(C20="","",IFERROR(E20/M20,0))</f>
        <v>0.819230769230769</v>
      </c>
      <c r="O20" s="9" t="n">
        <f aca="false">IF(C20="","",D20-E20)</f>
        <v>10</v>
      </c>
      <c r="P20" s="30" t="n">
        <f aca="false">IF(C20="","",IFERROR(O20/D20,0))</f>
        <v>0.0154083204930663</v>
      </c>
    </row>
    <row r="21" customFormat="false" ht="15" hidden="false" customHeight="false" outlineLevel="0" collapsed="false">
      <c r="A21" s="27" t="n">
        <f aca="false">设置!$B$4+19</f>
        <v>46315</v>
      </c>
      <c r="B21" s="28" t="n">
        <f aca="false">IF(C21="","",设置!$B$5)</f>
        <v>450</v>
      </c>
      <c r="C21" s="20" t="n">
        <v>30</v>
      </c>
      <c r="D21" s="29" t="n">
        <v>747</v>
      </c>
      <c r="E21" s="29" t="n">
        <v>736</v>
      </c>
      <c r="F21" s="24" t="s">
        <v>61</v>
      </c>
      <c r="G21" s="20"/>
      <c r="H21" s="9" t="n">
        <f aca="false">IF(C21="","",B21-C21)</f>
        <v>420</v>
      </c>
      <c r="I21" s="30" t="n">
        <f aca="false">IF(C21="","",IFERROR(H21/B21,0))</f>
        <v>0.933333333333333</v>
      </c>
      <c r="J21" s="30" t="n">
        <f aca="false">IF(C21="","",IFERROR(设置!$B$6*D21/(H21*60),0))</f>
        <v>0.889285714285714</v>
      </c>
      <c r="K21" s="30" t="n">
        <f aca="false">IF(C21="","",IFERROR(E21/D21,0))</f>
        <v>0.985274431057564</v>
      </c>
      <c r="L21" s="30" t="n">
        <f aca="false">IF(C21="","",I21*J21*K21)</f>
        <v>0.817777777777778</v>
      </c>
      <c r="M21" s="9" t="n">
        <f aca="false">IF(C21="","",设置!$B$7)</f>
        <v>780</v>
      </c>
      <c r="N21" s="30" t="n">
        <f aca="false">IF(C21="","",IFERROR(E21/M21,0))</f>
        <v>0.943589743589744</v>
      </c>
      <c r="O21" s="9" t="n">
        <f aca="false">IF(C21="","",D21-E21)</f>
        <v>11</v>
      </c>
      <c r="P21" s="30" t="n">
        <f aca="false">IF(C21="","",IFERROR(O21/D21,0))</f>
        <v>0.0147255689424364</v>
      </c>
    </row>
    <row r="22" customFormat="false" ht="15" hidden="false" customHeight="false" outlineLevel="0" collapsed="false">
      <c r="A22" s="27" t="n">
        <f aca="false">设置!$B$4+20</f>
        <v>46316</v>
      </c>
      <c r="B22" s="28" t="n">
        <f aca="false">IF(C22="","",设置!$B$5)</f>
        <v>450</v>
      </c>
      <c r="C22" s="20" t="n">
        <v>25</v>
      </c>
      <c r="D22" s="29" t="n">
        <v>728</v>
      </c>
      <c r="E22" s="29" t="n">
        <v>719</v>
      </c>
      <c r="F22" s="24" t="s">
        <v>56</v>
      </c>
      <c r="G22" s="20"/>
      <c r="H22" s="9" t="n">
        <f aca="false">IF(C22="","",B22-C22)</f>
        <v>425</v>
      </c>
      <c r="I22" s="30" t="n">
        <f aca="false">IF(C22="","",IFERROR(H22/B22,0))</f>
        <v>0.944444444444444</v>
      </c>
      <c r="J22" s="30" t="n">
        <f aca="false">IF(C22="","",IFERROR(设置!$B$6*D22/(H22*60),0))</f>
        <v>0.856470588235294</v>
      </c>
      <c r="K22" s="30" t="n">
        <f aca="false">IF(C22="","",IFERROR(E22/D22,0))</f>
        <v>0.987637362637363</v>
      </c>
      <c r="L22" s="30" t="n">
        <f aca="false">IF(C22="","",I22*J22*K22)</f>
        <v>0.798888888888889</v>
      </c>
      <c r="M22" s="9" t="n">
        <f aca="false">IF(C22="","",设置!$B$7)</f>
        <v>780</v>
      </c>
      <c r="N22" s="30" t="n">
        <f aca="false">IF(C22="","",IFERROR(E22/M22,0))</f>
        <v>0.921794871794872</v>
      </c>
      <c r="O22" s="9" t="n">
        <f aca="false">IF(C22="","",D22-E22)</f>
        <v>9</v>
      </c>
      <c r="P22" s="30" t="n">
        <f aca="false">IF(C22="","",IFERROR(O22/D22,0))</f>
        <v>0.0123626373626374</v>
      </c>
    </row>
    <row r="23" customFormat="false" ht="15" hidden="false" customHeight="false" outlineLevel="0" collapsed="false">
      <c r="A23" s="27" t="n">
        <f aca="false">设置!$B$4+21</f>
        <v>46317</v>
      </c>
      <c r="B23" s="28" t="n">
        <f aca="false">IF(C23="","",设置!$B$5)</f>
        <v>450</v>
      </c>
      <c r="C23" s="20" t="n">
        <v>15</v>
      </c>
      <c r="D23" s="29" t="n">
        <v>733</v>
      </c>
      <c r="E23" s="29" t="n">
        <v>709</v>
      </c>
      <c r="F23" s="24" t="s">
        <v>55</v>
      </c>
      <c r="G23" s="20"/>
      <c r="H23" s="9" t="n">
        <f aca="false">IF(C23="","",B23-C23)</f>
        <v>435</v>
      </c>
      <c r="I23" s="30" t="n">
        <f aca="false">IF(C23="","",IFERROR(H23/B23,0))</f>
        <v>0.966666666666667</v>
      </c>
      <c r="J23" s="30" t="n">
        <f aca="false">IF(C23="","",IFERROR(设置!$B$6*D23/(H23*60),0))</f>
        <v>0.842528735632184</v>
      </c>
      <c r="K23" s="30" t="n">
        <f aca="false">IF(C23="","",IFERROR(E23/D23,0))</f>
        <v>0.967257844474761</v>
      </c>
      <c r="L23" s="30" t="n">
        <f aca="false">IF(C23="","",I23*J23*K23)</f>
        <v>0.787777777777778</v>
      </c>
      <c r="M23" s="9" t="n">
        <f aca="false">IF(C23="","",设置!$B$7)</f>
        <v>780</v>
      </c>
      <c r="N23" s="30" t="n">
        <f aca="false">IF(C23="","",IFERROR(E23/M23,0))</f>
        <v>0.908974358974359</v>
      </c>
      <c r="O23" s="9" t="n">
        <f aca="false">IF(C23="","",D23-E23)</f>
        <v>24</v>
      </c>
      <c r="P23" s="30" t="n">
        <f aca="false">IF(C23="","",IFERROR(O23/D23,0))</f>
        <v>0.0327421555252387</v>
      </c>
    </row>
    <row r="24" customFormat="false" ht="15" hidden="false" customHeight="false" outlineLevel="0" collapsed="false">
      <c r="A24" s="27" t="n">
        <f aca="false">设置!$B$4+22</f>
        <v>46318</v>
      </c>
      <c r="B24" s="28" t="n">
        <f aca="false">IF(C24="","",设置!$B$5)</f>
        <v>450</v>
      </c>
      <c r="C24" s="20" t="n">
        <v>45</v>
      </c>
      <c r="D24" s="29" t="n">
        <v>701</v>
      </c>
      <c r="E24" s="29" t="n">
        <v>679</v>
      </c>
      <c r="F24" s="24" t="s">
        <v>56</v>
      </c>
      <c r="G24" s="20"/>
      <c r="H24" s="9" t="n">
        <f aca="false">IF(C24="","",B24-C24)</f>
        <v>405</v>
      </c>
      <c r="I24" s="30" t="n">
        <f aca="false">IF(C24="","",IFERROR(H24/B24,0))</f>
        <v>0.9</v>
      </c>
      <c r="J24" s="30" t="n">
        <f aca="false">IF(C24="","",IFERROR(设置!$B$6*D24/(H24*60),0))</f>
        <v>0.865432098765432</v>
      </c>
      <c r="K24" s="30" t="n">
        <f aca="false">IF(C24="","",IFERROR(E24/D24,0))</f>
        <v>0.968616262482168</v>
      </c>
      <c r="L24" s="30" t="n">
        <f aca="false">IF(C24="","",I24*J24*K24)</f>
        <v>0.754444444444445</v>
      </c>
      <c r="M24" s="9" t="n">
        <f aca="false">IF(C24="","",设置!$B$7)</f>
        <v>780</v>
      </c>
      <c r="N24" s="30" t="n">
        <f aca="false">IF(C24="","",IFERROR(E24/M24,0))</f>
        <v>0.870512820512821</v>
      </c>
      <c r="O24" s="9" t="n">
        <f aca="false">IF(C24="","",D24-E24)</f>
        <v>22</v>
      </c>
      <c r="P24" s="30" t="n">
        <f aca="false">IF(C24="","",IFERROR(O24/D24,0))</f>
        <v>0.0313837375178317</v>
      </c>
    </row>
    <row r="25" customFormat="false" ht="15" hidden="false" customHeight="false" outlineLevel="0" collapsed="false">
      <c r="A25" s="27" t="n">
        <f aca="false">设置!$B$4+23</f>
        <v>46319</v>
      </c>
      <c r="B25" s="28" t="str">
        <f aca="false">IF(C25="","",设置!$B$5)</f>
        <v/>
      </c>
      <c r="C25" s="20"/>
      <c r="D25" s="29"/>
      <c r="E25" s="29"/>
      <c r="F25" s="24"/>
      <c r="G25" s="20"/>
      <c r="H25" s="9" t="str">
        <f aca="false">IF(C25="","",B25-C25)</f>
        <v/>
      </c>
      <c r="I25" s="30" t="str">
        <f aca="false">IF(C25="","",IFERROR(H25/B25,0))</f>
        <v/>
      </c>
      <c r="J25" s="30" t="str">
        <f aca="false">IF(C25="","",IFERROR(设置!$B$6*D25/(H25*60),0))</f>
        <v/>
      </c>
      <c r="K25" s="30" t="str">
        <f aca="false">IF(C25="","",IFERROR(E25/D25,0))</f>
        <v/>
      </c>
      <c r="L25" s="30" t="str">
        <f aca="false">IF(C25="","",I25*J25*K25)</f>
        <v/>
      </c>
      <c r="M25" s="9" t="str">
        <f aca="false">IF(C25="","",设置!$B$7)</f>
        <v/>
      </c>
      <c r="N25" s="30" t="str">
        <f aca="false">IF(C25="","",IFERROR(E25/M25,0))</f>
        <v/>
      </c>
      <c r="O25" s="9" t="str">
        <f aca="false">IF(C25="","",D25-E25)</f>
        <v/>
      </c>
      <c r="P25" s="30" t="str">
        <f aca="false">IF(C25="","",IFERROR(O25/D25,0))</f>
        <v/>
      </c>
    </row>
    <row r="26" customFormat="false" ht="15" hidden="false" customHeight="false" outlineLevel="0" collapsed="false">
      <c r="A26" s="27" t="n">
        <f aca="false">设置!$B$4+24</f>
        <v>46320</v>
      </c>
      <c r="B26" s="28" t="str">
        <f aca="false">IF(C26="","",设置!$B$5)</f>
        <v/>
      </c>
      <c r="C26" s="20"/>
      <c r="D26" s="29"/>
      <c r="E26" s="29"/>
      <c r="F26" s="24"/>
      <c r="G26" s="20"/>
      <c r="H26" s="9" t="str">
        <f aca="false">IF(C26="","",B26-C26)</f>
        <v/>
      </c>
      <c r="I26" s="30" t="str">
        <f aca="false">IF(C26="","",IFERROR(H26/B26,0))</f>
        <v/>
      </c>
      <c r="J26" s="30" t="str">
        <f aca="false">IF(C26="","",IFERROR(设置!$B$6*D26/(H26*60),0))</f>
        <v/>
      </c>
      <c r="K26" s="30" t="str">
        <f aca="false">IF(C26="","",IFERROR(E26/D26,0))</f>
        <v/>
      </c>
      <c r="L26" s="30" t="str">
        <f aca="false">IF(C26="","",I26*J26*K26)</f>
        <v/>
      </c>
      <c r="M26" s="9" t="str">
        <f aca="false">IF(C26="","",设置!$B$7)</f>
        <v/>
      </c>
      <c r="N26" s="30" t="str">
        <f aca="false">IF(C26="","",IFERROR(E26/M26,0))</f>
        <v/>
      </c>
      <c r="O26" s="9" t="str">
        <f aca="false">IF(C26="","",D26-E26)</f>
        <v/>
      </c>
      <c r="P26" s="30" t="str">
        <f aca="false">IF(C26="","",IFERROR(O26/D26,0))</f>
        <v/>
      </c>
    </row>
    <row r="27" customFormat="false" ht="15" hidden="false" customHeight="false" outlineLevel="0" collapsed="false">
      <c r="A27" s="27" t="n">
        <f aca="false">设置!$B$4+25</f>
        <v>46321</v>
      </c>
      <c r="B27" s="28" t="n">
        <f aca="false">IF(C27="","",设置!$B$5)</f>
        <v>450</v>
      </c>
      <c r="C27" s="20" t="n">
        <v>30</v>
      </c>
      <c r="D27" s="29" t="n">
        <v>730</v>
      </c>
      <c r="E27" s="29" t="n">
        <v>713</v>
      </c>
      <c r="F27" s="24" t="s">
        <v>56</v>
      </c>
      <c r="G27" s="20"/>
      <c r="H27" s="9" t="n">
        <f aca="false">IF(C27="","",B27-C27)</f>
        <v>420</v>
      </c>
      <c r="I27" s="30" t="n">
        <f aca="false">IF(C27="","",IFERROR(H27/B27,0))</f>
        <v>0.933333333333333</v>
      </c>
      <c r="J27" s="30" t="n">
        <f aca="false">IF(C27="","",IFERROR(设置!$B$6*D27/(H27*60),0))</f>
        <v>0.869047619047619</v>
      </c>
      <c r="K27" s="30" t="n">
        <f aca="false">IF(C27="","",IFERROR(E27/D27,0))</f>
        <v>0.976712328767123</v>
      </c>
      <c r="L27" s="30" t="n">
        <f aca="false">IF(C27="","",I27*J27*K27)</f>
        <v>0.792222222222222</v>
      </c>
      <c r="M27" s="9" t="n">
        <f aca="false">IF(C27="","",设置!$B$7)</f>
        <v>780</v>
      </c>
      <c r="N27" s="30" t="n">
        <f aca="false">IF(C27="","",IFERROR(E27/M27,0))</f>
        <v>0.914102564102564</v>
      </c>
      <c r="O27" s="9" t="n">
        <f aca="false">IF(C27="","",D27-E27)</f>
        <v>17</v>
      </c>
      <c r="P27" s="30" t="n">
        <f aca="false">IF(C27="","",IFERROR(O27/D27,0))</f>
        <v>0.0232876712328767</v>
      </c>
    </row>
    <row r="28" customFormat="false" ht="15" hidden="false" customHeight="false" outlineLevel="0" collapsed="false">
      <c r="A28" s="27" t="n">
        <f aca="false">设置!$B$4+26</f>
        <v>46322</v>
      </c>
      <c r="B28" s="28" t="n">
        <f aca="false">IF(C28="","",设置!$B$5)</f>
        <v>450</v>
      </c>
      <c r="C28" s="20" t="n">
        <v>25</v>
      </c>
      <c r="D28" s="29" t="n">
        <v>783</v>
      </c>
      <c r="E28" s="29" t="n">
        <v>767</v>
      </c>
      <c r="F28" s="24" t="s">
        <v>58</v>
      </c>
      <c r="G28" s="20"/>
      <c r="H28" s="9" t="n">
        <f aca="false">IF(C28="","",B28-C28)</f>
        <v>425</v>
      </c>
      <c r="I28" s="30" t="n">
        <f aca="false">IF(C28="","",IFERROR(H28/B28,0))</f>
        <v>0.944444444444444</v>
      </c>
      <c r="J28" s="30" t="n">
        <f aca="false">IF(C28="","",IFERROR(设置!$B$6*D28/(H28*60),0))</f>
        <v>0.921176470588235</v>
      </c>
      <c r="K28" s="30" t="n">
        <f aca="false">IF(C28="","",IFERROR(E28/D28,0))</f>
        <v>0.979565772669221</v>
      </c>
      <c r="L28" s="30" t="n">
        <f aca="false">IF(C28="","",I28*J28*K28)</f>
        <v>0.852222222222222</v>
      </c>
      <c r="M28" s="9" t="n">
        <f aca="false">IF(C28="","",设置!$B$7)</f>
        <v>780</v>
      </c>
      <c r="N28" s="30" t="n">
        <f aca="false">IF(C28="","",IFERROR(E28/M28,0))</f>
        <v>0.983333333333333</v>
      </c>
      <c r="O28" s="9" t="n">
        <f aca="false">IF(C28="","",D28-E28)</f>
        <v>16</v>
      </c>
      <c r="P28" s="30" t="n">
        <f aca="false">IF(C28="","",IFERROR(O28/D28,0))</f>
        <v>0.0204342273307791</v>
      </c>
    </row>
    <row r="29" customFormat="false" ht="15" hidden="false" customHeight="false" outlineLevel="0" collapsed="false">
      <c r="A29" s="27" t="n">
        <f aca="false">设置!$B$4+27</f>
        <v>46323</v>
      </c>
      <c r="B29" s="28" t="n">
        <f aca="false">IF(C29="","",设置!$B$5)</f>
        <v>450</v>
      </c>
      <c r="C29" s="20" t="n">
        <v>20</v>
      </c>
      <c r="D29" s="29" t="n">
        <v>765</v>
      </c>
      <c r="E29" s="29" t="n">
        <v>753</v>
      </c>
      <c r="F29" s="24" t="s">
        <v>57</v>
      </c>
      <c r="G29" s="20"/>
      <c r="H29" s="9" t="n">
        <f aca="false">IF(C29="","",B29-C29)</f>
        <v>430</v>
      </c>
      <c r="I29" s="30" t="n">
        <f aca="false">IF(C29="","",IFERROR(H29/B29,0))</f>
        <v>0.955555555555556</v>
      </c>
      <c r="J29" s="30" t="n">
        <f aca="false">IF(C29="","",IFERROR(设置!$B$6*D29/(H29*60),0))</f>
        <v>0.88953488372093</v>
      </c>
      <c r="K29" s="30" t="n">
        <f aca="false">IF(C29="","",IFERROR(E29/D29,0))</f>
        <v>0.984313725490196</v>
      </c>
      <c r="L29" s="30" t="n">
        <f aca="false">IF(C29="","",I29*J29*K29)</f>
        <v>0.836666666666667</v>
      </c>
      <c r="M29" s="9" t="n">
        <f aca="false">IF(C29="","",设置!$B$7)</f>
        <v>780</v>
      </c>
      <c r="N29" s="30" t="n">
        <f aca="false">IF(C29="","",IFERROR(E29/M29,0))</f>
        <v>0.965384615384615</v>
      </c>
      <c r="O29" s="9" t="n">
        <f aca="false">IF(C29="","",D29-E29)</f>
        <v>12</v>
      </c>
      <c r="P29" s="30" t="n">
        <f aca="false">IF(C29="","",IFERROR(O29/D29,0))</f>
        <v>0.0156862745098039</v>
      </c>
    </row>
    <row r="30" customFormat="false" ht="15" hidden="false" customHeight="false" outlineLevel="0" collapsed="false">
      <c r="A30" s="27" t="n">
        <f aca="false">设置!$B$4+28</f>
        <v>46324</v>
      </c>
      <c r="B30" s="28" t="n">
        <f aca="false">IF(C30="","",设置!$B$5)</f>
        <v>450</v>
      </c>
      <c r="C30" s="20" t="n">
        <v>15</v>
      </c>
      <c r="D30" s="29" t="n">
        <v>715</v>
      </c>
      <c r="E30" s="29" t="n">
        <v>702</v>
      </c>
      <c r="F30" s="24" t="s">
        <v>58</v>
      </c>
      <c r="G30" s="20"/>
      <c r="H30" s="9" t="n">
        <f aca="false">IF(C30="","",B30-C30)</f>
        <v>435</v>
      </c>
      <c r="I30" s="30" t="n">
        <f aca="false">IF(C30="","",IFERROR(H30/B30,0))</f>
        <v>0.966666666666667</v>
      </c>
      <c r="J30" s="30" t="n">
        <f aca="false">IF(C30="","",IFERROR(设置!$B$6*D30/(H30*60),0))</f>
        <v>0.82183908045977</v>
      </c>
      <c r="K30" s="30" t="n">
        <f aca="false">IF(C30="","",IFERROR(E30/D30,0))</f>
        <v>0.981818181818182</v>
      </c>
      <c r="L30" s="30" t="n">
        <f aca="false">IF(C30="","",I30*J30*K30)</f>
        <v>0.78</v>
      </c>
      <c r="M30" s="9" t="n">
        <f aca="false">IF(C30="","",设置!$B$7)</f>
        <v>780</v>
      </c>
      <c r="N30" s="30" t="n">
        <f aca="false">IF(C30="","",IFERROR(E30/M30,0))</f>
        <v>0.9</v>
      </c>
      <c r="O30" s="9" t="n">
        <f aca="false">IF(C30="","",D30-E30)</f>
        <v>13</v>
      </c>
      <c r="P30" s="30" t="n">
        <f aca="false">IF(C30="","",IFERROR(O30/D30,0))</f>
        <v>0.0181818181818182</v>
      </c>
    </row>
    <row r="31" customFormat="false" ht="15" hidden="false" customHeight="false" outlineLevel="0" collapsed="false">
      <c r="A31" s="27" t="n">
        <f aca="false">设置!$B$4+29</f>
        <v>46325</v>
      </c>
      <c r="B31" s="28" t="n">
        <f aca="false">IF(C31="","",设置!$B$5)</f>
        <v>450</v>
      </c>
      <c r="C31" s="20" t="n">
        <v>20</v>
      </c>
      <c r="D31" s="29" t="n">
        <v>792</v>
      </c>
      <c r="E31" s="29" t="n">
        <v>779</v>
      </c>
      <c r="F31" s="24" t="s">
        <v>57</v>
      </c>
      <c r="G31" s="20"/>
      <c r="H31" s="9" t="n">
        <f aca="false">IF(C31="","",B31-C31)</f>
        <v>430</v>
      </c>
      <c r="I31" s="30" t="n">
        <f aca="false">IF(C31="","",IFERROR(H31/B31,0))</f>
        <v>0.955555555555556</v>
      </c>
      <c r="J31" s="30" t="n">
        <f aca="false">IF(C31="","",IFERROR(设置!$B$6*D31/(H31*60),0))</f>
        <v>0.92093023255814</v>
      </c>
      <c r="K31" s="30" t="n">
        <f aca="false">IF(C31="","",IFERROR(E31/D31,0))</f>
        <v>0.983585858585859</v>
      </c>
      <c r="L31" s="30" t="n">
        <f aca="false">IF(C31="","",I31*J31*K31)</f>
        <v>0.865555555555556</v>
      </c>
      <c r="M31" s="9" t="n">
        <f aca="false">IF(C31="","",设置!$B$7)</f>
        <v>780</v>
      </c>
      <c r="N31" s="30" t="n">
        <f aca="false">IF(C31="","",IFERROR(E31/M31,0))</f>
        <v>0.998717948717949</v>
      </c>
      <c r="O31" s="9" t="n">
        <f aca="false">IF(C31="","",D31-E31)</f>
        <v>13</v>
      </c>
      <c r="P31" s="30" t="n">
        <f aca="false">IF(C31="","",IFERROR(O31/D31,0))</f>
        <v>0.0164141414141414</v>
      </c>
    </row>
    <row r="32" customFormat="false" ht="15" hidden="false" customHeight="false" outlineLevel="0" collapsed="false">
      <c r="A32" s="27" t="n">
        <f aca="false">设置!$B$4+30</f>
        <v>46326</v>
      </c>
      <c r="B32" s="28" t="str">
        <f aca="false">IF(C32="","",设置!$B$5)</f>
        <v/>
      </c>
      <c r="C32" s="20"/>
      <c r="D32" s="29"/>
      <c r="E32" s="29"/>
      <c r="F32" s="24"/>
      <c r="G32" s="20"/>
      <c r="H32" s="9" t="str">
        <f aca="false">IF(C32="","",B32-C32)</f>
        <v/>
      </c>
      <c r="I32" s="30" t="str">
        <f aca="false">IF(C32="","",IFERROR(H32/B32,0))</f>
        <v/>
      </c>
      <c r="J32" s="30" t="str">
        <f aca="false">IF(C32="","",IFERROR(设置!$B$6*D32/(H32*60),0))</f>
        <v/>
      </c>
      <c r="K32" s="30" t="str">
        <f aca="false">IF(C32="","",IFERROR(E32/D32,0))</f>
        <v/>
      </c>
      <c r="L32" s="30" t="str">
        <f aca="false">IF(C32="","",I32*J32*K32)</f>
        <v/>
      </c>
      <c r="M32" s="9" t="str">
        <f aca="false">IF(C32="","",设置!$B$7)</f>
        <v/>
      </c>
      <c r="N32" s="30" t="str">
        <f aca="false">IF(C32="","",IFERROR(E32/M32,0))</f>
        <v/>
      </c>
      <c r="O32" s="9" t="str">
        <f aca="false">IF(C32="","",D32-E32)</f>
        <v/>
      </c>
      <c r="P32" s="30" t="str">
        <f aca="false">IF(C32="","",IFERROR(O32/D32,0))</f>
        <v/>
      </c>
    </row>
  </sheetData>
  <conditionalFormatting sqref="L2:L32">
    <cfRule type="cellIs" priority="2" operator="lessThan" aboveAverage="0" equalAverage="0" bottom="0" percent="0" rank="0" text="" dxfId="0">
      <formula>设置!$B$8</formula>
    </cfRule>
  </conditionalFormatting>
  <conditionalFormatting sqref="N2:N32">
    <cfRule type="cellIs" priority="3" operator="lessThan" aboveAverage="0" equalAverage="0" bottom="0" percent="0" rank="0" text="" dxfId="2">
      <formula>1</formula>
    </cfRule>
  </conditionalFormatting>
  <dataValidations count="1">
    <dataValidation allowBlank="true" errorStyle="stop" operator="between" showDropDown="false" showErrorMessage="false" showInputMessage="false" sqref="F2:F32" type="list">
      <formula1>设置!$A$13:$A$20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1" t="s">
        <v>63</v>
      </c>
      <c r="B1" s="31" t="s">
        <v>5</v>
      </c>
      <c r="C1" s="31" t="s">
        <v>6</v>
      </c>
      <c r="D1" s="31" t="s">
        <v>72</v>
      </c>
      <c r="E1" s="31" t="s">
        <v>69</v>
      </c>
    </row>
    <row r="2" customFormat="false" ht="15" hidden="false" customHeight="false" outlineLevel="0" collapsed="false">
      <c r="A2" s="21"/>
      <c r="B2" s="20"/>
      <c r="C2" s="20"/>
      <c r="D2" s="20"/>
      <c r="E2" s="20"/>
    </row>
    <row r="3" customFormat="false" ht="15" hidden="false" customHeight="false" outlineLevel="0" collapsed="false">
      <c r="A3" s="21"/>
      <c r="B3" s="20"/>
      <c r="C3" s="20"/>
      <c r="D3" s="20"/>
      <c r="E3" s="20"/>
    </row>
    <row r="4" customFormat="false" ht="15" hidden="false" customHeight="false" outlineLevel="0" collapsed="false">
      <c r="A4" s="21"/>
      <c r="B4" s="20"/>
      <c r="C4" s="20"/>
      <c r="D4" s="20"/>
      <c r="E4" s="20"/>
    </row>
    <row r="5" customFormat="false" ht="15" hidden="false" customHeight="false" outlineLevel="0" collapsed="false">
      <c r="A5" s="21"/>
      <c r="B5" s="20"/>
      <c r="C5" s="20"/>
      <c r="D5" s="20"/>
      <c r="E5" s="20"/>
    </row>
    <row r="6" customFormat="false" ht="15" hidden="false" customHeight="false" outlineLevel="0" collapsed="false">
      <c r="A6" s="21"/>
      <c r="B6" s="20"/>
      <c r="C6" s="20"/>
      <c r="D6" s="20"/>
      <c r="E6" s="20"/>
    </row>
    <row r="7" customFormat="false" ht="15" hidden="false" customHeight="false" outlineLevel="0" collapsed="false">
      <c r="A7" s="21"/>
      <c r="B7" s="20"/>
      <c r="C7" s="20"/>
      <c r="D7" s="20"/>
      <c r="E7" s="20"/>
    </row>
    <row r="8" customFormat="false" ht="15" hidden="false" customHeight="false" outlineLevel="0" collapsed="false">
      <c r="A8" s="21"/>
      <c r="B8" s="20"/>
      <c r="C8" s="20"/>
      <c r="D8" s="20"/>
      <c r="E8" s="20"/>
    </row>
    <row r="9" customFormat="false" ht="15" hidden="false" customHeight="false" outlineLevel="0" collapsed="false">
      <c r="A9" s="21"/>
      <c r="B9" s="20"/>
      <c r="C9" s="20"/>
      <c r="D9" s="20"/>
      <c r="E9" s="20"/>
    </row>
    <row r="10" customFormat="false" ht="15" hidden="false" customHeight="false" outlineLevel="0" collapsed="false">
      <c r="A10" s="21"/>
      <c r="B10" s="20"/>
      <c r="C10" s="20"/>
      <c r="D10" s="20"/>
      <c r="E10" s="20"/>
    </row>
    <row r="11" customFormat="false" ht="15" hidden="false" customHeight="false" outlineLevel="0" collapsed="false">
      <c r="A11" s="21"/>
      <c r="B11" s="20"/>
      <c r="C11" s="20"/>
      <c r="D11" s="20"/>
      <c r="E11" s="20"/>
    </row>
    <row r="12" customFormat="false" ht="15" hidden="false" customHeight="false" outlineLevel="0" collapsed="false">
      <c r="A12" s="21"/>
      <c r="B12" s="20"/>
      <c r="C12" s="20"/>
      <c r="D12" s="20"/>
      <c r="E12" s="20"/>
    </row>
    <row r="13" customFormat="false" ht="15" hidden="false" customHeight="false" outlineLevel="0" collapsed="false">
      <c r="A13" s="21"/>
      <c r="B13" s="20"/>
      <c r="C13" s="20"/>
      <c r="D13" s="20"/>
      <c r="E13" s="20"/>
    </row>
    <row r="14" customFormat="false" ht="15" hidden="false" customHeight="false" outlineLevel="0" collapsed="false">
      <c r="A14" s="21"/>
      <c r="B14" s="20"/>
      <c r="C14" s="20"/>
      <c r="D14" s="20"/>
      <c r="E14" s="20"/>
    </row>
    <row r="15" customFormat="false" ht="15" hidden="false" customHeight="false" outlineLevel="0" collapsed="false">
      <c r="A15" s="21"/>
      <c r="B15" s="20"/>
      <c r="C15" s="20"/>
      <c r="D15" s="20"/>
      <c r="E15" s="20"/>
    </row>
    <row r="16" customFormat="false" ht="15" hidden="false" customHeight="false" outlineLevel="0" collapsed="false">
      <c r="A16" s="21"/>
      <c r="B16" s="20"/>
      <c r="C16" s="20"/>
      <c r="D16" s="20"/>
      <c r="E16" s="20"/>
    </row>
    <row r="17" customFormat="false" ht="15" hidden="false" customHeight="false" outlineLevel="0" collapsed="false">
      <c r="A17" s="21"/>
      <c r="B17" s="20"/>
      <c r="C17" s="20"/>
      <c r="D17" s="20"/>
      <c r="E17" s="20"/>
    </row>
    <row r="18" customFormat="false" ht="15" hidden="false" customHeight="false" outlineLevel="0" collapsed="false">
      <c r="A18" s="21"/>
      <c r="B18" s="20"/>
      <c r="C18" s="20"/>
      <c r="D18" s="20"/>
      <c r="E18" s="20"/>
    </row>
    <row r="19" customFormat="false" ht="15" hidden="false" customHeight="false" outlineLevel="0" collapsed="false">
      <c r="A19" s="21"/>
      <c r="B19" s="20"/>
      <c r="C19" s="20"/>
      <c r="D19" s="20"/>
      <c r="E19" s="20"/>
    </row>
    <row r="20" customFormat="false" ht="15" hidden="false" customHeight="false" outlineLevel="0" collapsed="false">
      <c r="A20" s="21"/>
      <c r="B20" s="20"/>
      <c r="C20" s="20"/>
      <c r="D20" s="20"/>
      <c r="E20" s="20"/>
    </row>
    <row r="21" customFormat="false" ht="15" hidden="false" customHeight="false" outlineLevel="0" collapsed="false">
      <c r="A21" s="21"/>
      <c r="B21" s="20"/>
      <c r="C21" s="20"/>
      <c r="D21" s="20"/>
      <c r="E21" s="20"/>
    </row>
    <row r="22" customFormat="false" ht="15" hidden="false" customHeight="false" outlineLevel="0" collapsed="false">
      <c r="A22" s="21"/>
      <c r="B22" s="20"/>
      <c r="C22" s="20"/>
      <c r="D22" s="20"/>
      <c r="E22" s="20"/>
    </row>
    <row r="23" customFormat="false" ht="15" hidden="false" customHeight="false" outlineLevel="0" collapsed="false">
      <c r="A23" s="21"/>
      <c r="B23" s="20"/>
      <c r="C23" s="20"/>
      <c r="D23" s="20"/>
      <c r="E23" s="20"/>
    </row>
    <row r="24" customFormat="false" ht="15" hidden="false" customHeight="false" outlineLevel="0" collapsed="false">
      <c r="A24" s="21"/>
      <c r="B24" s="20"/>
      <c r="C24" s="20"/>
      <c r="D24" s="20"/>
      <c r="E24" s="20"/>
    </row>
    <row r="25" customFormat="false" ht="15" hidden="false" customHeight="false" outlineLevel="0" collapsed="false">
      <c r="A25" s="21"/>
      <c r="B25" s="20"/>
      <c r="C25" s="20"/>
      <c r="D25" s="20"/>
      <c r="E25" s="20"/>
    </row>
    <row r="26" customFormat="false" ht="15" hidden="false" customHeight="false" outlineLevel="0" collapsed="false">
      <c r="A26" s="21"/>
      <c r="B26" s="20"/>
      <c r="C26" s="20"/>
      <c r="D26" s="20"/>
      <c r="E26" s="20"/>
    </row>
    <row r="27" customFormat="false" ht="15" hidden="false" customHeight="false" outlineLevel="0" collapsed="false">
      <c r="A27" s="21"/>
      <c r="B27" s="20"/>
      <c r="C27" s="20"/>
      <c r="D27" s="20"/>
      <c r="E27" s="20"/>
    </row>
    <row r="28" customFormat="false" ht="15" hidden="false" customHeight="false" outlineLevel="0" collapsed="false">
      <c r="A28" s="21"/>
      <c r="B28" s="20"/>
      <c r="C28" s="20"/>
      <c r="D28" s="20"/>
      <c r="E28" s="20"/>
    </row>
    <row r="29" customFormat="false" ht="15" hidden="false" customHeight="false" outlineLevel="0" collapsed="false">
      <c r="A29" s="21"/>
      <c r="B29" s="20"/>
      <c r="C29" s="20"/>
      <c r="D29" s="20"/>
      <c r="E29" s="20"/>
    </row>
    <row r="30" customFormat="false" ht="15" hidden="false" customHeight="false" outlineLevel="0" collapsed="false">
      <c r="A30" s="21"/>
      <c r="B30" s="20"/>
      <c r="C30" s="20"/>
      <c r="D30" s="20"/>
      <c r="E30" s="20"/>
    </row>
    <row r="31" customFormat="false" ht="15" hidden="false" customHeight="false" outlineLevel="0" collapsed="false">
      <c r="A31" s="21"/>
      <c r="B31" s="20"/>
      <c r="C31" s="20"/>
      <c r="D31" s="20"/>
      <c r="E31" s="20"/>
    </row>
    <row r="32" customFormat="false" ht="15" hidden="false" customHeight="false" outlineLevel="0" collapsed="false">
      <c r="A32" s="21"/>
      <c r="B32" s="20"/>
      <c r="C32" s="20"/>
      <c r="D32" s="20"/>
      <c r="E32" s="20"/>
    </row>
    <row r="33" customFormat="false" ht="15" hidden="false" customHeight="false" outlineLevel="0" collapsed="false">
      <c r="A33" s="21"/>
      <c r="B33" s="20"/>
      <c r="C33" s="20"/>
      <c r="D33" s="20"/>
      <c r="E33" s="20"/>
    </row>
    <row r="34" customFormat="false" ht="15" hidden="false" customHeight="false" outlineLevel="0" collapsed="false">
      <c r="A34" s="21"/>
      <c r="B34" s="20"/>
      <c r="C34" s="20"/>
      <c r="D34" s="20"/>
      <c r="E34" s="20"/>
    </row>
    <row r="35" customFormat="false" ht="15" hidden="false" customHeight="false" outlineLevel="0" collapsed="false">
      <c r="A35" s="21"/>
      <c r="B35" s="20"/>
      <c r="C35" s="20"/>
      <c r="D35" s="20"/>
      <c r="E35" s="20"/>
    </row>
    <row r="36" customFormat="false" ht="15" hidden="false" customHeight="false" outlineLevel="0" collapsed="false">
      <c r="A36" s="21"/>
      <c r="B36" s="20"/>
      <c r="C36" s="20"/>
      <c r="D36" s="20"/>
      <c r="E36" s="20"/>
    </row>
    <row r="37" customFormat="false" ht="15" hidden="false" customHeight="false" outlineLevel="0" collapsed="false">
      <c r="A37" s="21"/>
      <c r="B37" s="20"/>
      <c r="C37" s="20"/>
      <c r="D37" s="20"/>
      <c r="E37" s="20"/>
    </row>
    <row r="38" customFormat="false" ht="15" hidden="false" customHeight="false" outlineLevel="0" collapsed="false">
      <c r="A38" s="21"/>
      <c r="B38" s="20"/>
      <c r="C38" s="20"/>
      <c r="D38" s="20"/>
      <c r="E38" s="20"/>
    </row>
    <row r="39" customFormat="false" ht="15" hidden="false" customHeight="false" outlineLevel="0" collapsed="false">
      <c r="A39" s="21"/>
      <c r="B39" s="20"/>
      <c r="C39" s="20"/>
      <c r="D39" s="20"/>
      <c r="E39" s="20"/>
    </row>
    <row r="40" customFormat="false" ht="15" hidden="false" customHeight="false" outlineLevel="0" collapsed="false">
      <c r="A40" s="21"/>
      <c r="B40" s="20"/>
      <c r="C40" s="20"/>
      <c r="D40" s="20"/>
      <c r="E40" s="20"/>
    </row>
    <row r="41" customFormat="false" ht="15" hidden="false" customHeight="false" outlineLevel="0" collapsed="false">
      <c r="A41" s="21"/>
      <c r="B41" s="20"/>
      <c r="C41" s="20"/>
      <c r="D41" s="20"/>
      <c r="E41" s="20"/>
    </row>
    <row r="42" customFormat="false" ht="15" hidden="false" customHeight="false" outlineLevel="0" collapsed="false">
      <c r="A42" s="21"/>
      <c r="B42" s="20"/>
      <c r="C42" s="20"/>
      <c r="D42" s="20"/>
      <c r="E42" s="20"/>
    </row>
    <row r="43" customFormat="false" ht="15" hidden="false" customHeight="false" outlineLevel="0" collapsed="false">
      <c r="A43" s="21"/>
      <c r="B43" s="20"/>
      <c r="C43" s="20"/>
      <c r="D43" s="20"/>
      <c r="E43" s="20"/>
    </row>
    <row r="44" customFormat="false" ht="15" hidden="false" customHeight="false" outlineLevel="0" collapsed="false">
      <c r="A44" s="21"/>
      <c r="B44" s="20"/>
      <c r="C44" s="20"/>
      <c r="D44" s="20"/>
      <c r="E44" s="20"/>
    </row>
    <row r="45" customFormat="false" ht="15" hidden="false" customHeight="false" outlineLevel="0" collapsed="false">
      <c r="A45" s="21"/>
      <c r="B45" s="20"/>
      <c r="C45" s="20"/>
      <c r="D45" s="20"/>
      <c r="E45" s="20"/>
    </row>
    <row r="46" customFormat="false" ht="15" hidden="false" customHeight="false" outlineLevel="0" collapsed="false">
      <c r="A46" s="21"/>
      <c r="B46" s="20"/>
      <c r="C46" s="20"/>
      <c r="D46" s="20"/>
      <c r="E46" s="20"/>
    </row>
    <row r="47" customFormat="false" ht="15" hidden="false" customHeight="false" outlineLevel="0" collapsed="false">
      <c r="A47" s="21"/>
      <c r="B47" s="20"/>
      <c r="C47" s="20"/>
      <c r="D47" s="20"/>
      <c r="E47" s="20"/>
    </row>
    <row r="48" customFormat="false" ht="15" hidden="false" customHeight="false" outlineLevel="0" collapsed="false">
      <c r="A48" s="21"/>
      <c r="B48" s="20"/>
      <c r="C48" s="20"/>
      <c r="D48" s="20"/>
      <c r="E48" s="20"/>
    </row>
    <row r="49" customFormat="false" ht="15" hidden="false" customHeight="false" outlineLevel="0" collapsed="false">
      <c r="A49" s="21"/>
      <c r="B49" s="20"/>
      <c r="C49" s="20"/>
      <c r="D49" s="20"/>
      <c r="E49" s="20"/>
    </row>
    <row r="50" customFormat="false" ht="15" hidden="false" customHeight="false" outlineLevel="0" collapsed="false">
      <c r="A50" s="21"/>
      <c r="B50" s="20"/>
      <c r="C50" s="20"/>
      <c r="D50" s="20"/>
      <c r="E50" s="20"/>
    </row>
    <row r="51" customFormat="false" ht="15" hidden="false" customHeight="false" outlineLevel="0" collapsed="false">
      <c r="A51" s="21"/>
      <c r="B51" s="20"/>
      <c r="C51" s="20"/>
      <c r="D51" s="20"/>
      <c r="E51" s="20"/>
    </row>
    <row r="52" customFormat="false" ht="15" hidden="false" customHeight="false" outlineLevel="0" collapsed="false">
      <c r="A52" s="21"/>
      <c r="B52" s="20"/>
      <c r="C52" s="20"/>
      <c r="D52" s="20"/>
      <c r="E52" s="20"/>
    </row>
    <row r="53" customFormat="false" ht="15" hidden="false" customHeight="false" outlineLevel="0" collapsed="false">
      <c r="A53" s="21"/>
      <c r="B53" s="20"/>
      <c r="C53" s="20"/>
      <c r="D53" s="20"/>
      <c r="E53" s="20"/>
    </row>
    <row r="54" customFormat="false" ht="15" hidden="false" customHeight="false" outlineLevel="0" collapsed="false">
      <c r="A54" s="21"/>
      <c r="B54" s="20"/>
      <c r="C54" s="20"/>
      <c r="D54" s="20"/>
      <c r="E54" s="20"/>
    </row>
    <row r="55" customFormat="false" ht="15" hidden="false" customHeight="false" outlineLevel="0" collapsed="false">
      <c r="A55" s="21"/>
      <c r="B55" s="20"/>
      <c r="C55" s="20"/>
      <c r="D55" s="20"/>
      <c r="E55" s="20"/>
    </row>
    <row r="56" customFormat="false" ht="15" hidden="false" customHeight="false" outlineLevel="0" collapsed="false">
      <c r="A56" s="21"/>
      <c r="B56" s="20"/>
      <c r="C56" s="20"/>
      <c r="D56" s="20"/>
      <c r="E56" s="20"/>
    </row>
    <row r="57" customFormat="false" ht="15" hidden="false" customHeight="false" outlineLevel="0" collapsed="false">
      <c r="A57" s="21"/>
      <c r="B57" s="20"/>
      <c r="C57" s="20"/>
      <c r="D57" s="20"/>
      <c r="E57" s="20"/>
    </row>
    <row r="58" customFormat="false" ht="15" hidden="false" customHeight="false" outlineLevel="0" collapsed="false">
      <c r="A58" s="21"/>
      <c r="B58" s="20"/>
      <c r="C58" s="20"/>
      <c r="D58" s="20"/>
      <c r="E58" s="20"/>
    </row>
    <row r="59" customFormat="false" ht="15" hidden="false" customHeight="false" outlineLevel="0" collapsed="false">
      <c r="A59" s="21"/>
      <c r="B59" s="20"/>
      <c r="C59" s="20"/>
      <c r="D59" s="20"/>
      <c r="E59" s="20"/>
    </row>
    <row r="60" customFormat="false" ht="15" hidden="false" customHeight="false" outlineLevel="0" collapsed="false">
      <c r="A60" s="21"/>
      <c r="B60" s="20"/>
      <c r="C60" s="20"/>
      <c r="D60" s="20"/>
      <c r="E60" s="20"/>
    </row>
    <row r="61" customFormat="false" ht="15" hidden="false" customHeight="false" outlineLevel="0" collapsed="false">
      <c r="A61" s="21"/>
      <c r="B61" s="20"/>
      <c r="C61" s="20"/>
      <c r="D61" s="20"/>
      <c r="E61" s="20"/>
    </row>
    <row r="62" customFormat="false" ht="15" hidden="false" customHeight="false" outlineLevel="0" collapsed="false">
      <c r="A62" s="21"/>
      <c r="B62" s="20"/>
      <c r="C62" s="20"/>
      <c r="D62" s="20"/>
      <c r="E62" s="20"/>
    </row>
    <row r="63" customFormat="false" ht="15" hidden="false" customHeight="false" outlineLevel="0" collapsed="false">
      <c r="A63" s="21"/>
      <c r="B63" s="20"/>
      <c r="C63" s="20"/>
      <c r="D63" s="20"/>
      <c r="E63" s="20"/>
    </row>
    <row r="64" customFormat="false" ht="15" hidden="false" customHeight="false" outlineLevel="0" collapsed="false">
      <c r="A64" s="21"/>
      <c r="B64" s="20"/>
      <c r="C64" s="20"/>
      <c r="D64" s="20"/>
      <c r="E64" s="20"/>
    </row>
    <row r="65" customFormat="false" ht="15" hidden="false" customHeight="false" outlineLevel="0" collapsed="false">
      <c r="A65" s="21"/>
      <c r="B65" s="20"/>
      <c r="C65" s="20"/>
      <c r="D65" s="20"/>
      <c r="E65" s="20"/>
    </row>
    <row r="66" customFormat="false" ht="15" hidden="false" customHeight="false" outlineLevel="0" collapsed="false">
      <c r="A66" s="21"/>
      <c r="B66" s="20"/>
      <c r="C66" s="20"/>
      <c r="D66" s="20"/>
      <c r="E66" s="20"/>
    </row>
    <row r="67" customFormat="false" ht="15" hidden="false" customHeight="false" outlineLevel="0" collapsed="false">
      <c r="A67" s="21"/>
      <c r="B67" s="20"/>
      <c r="C67" s="20"/>
      <c r="D67" s="20"/>
      <c r="E67" s="20"/>
    </row>
    <row r="68" customFormat="false" ht="15" hidden="false" customHeight="false" outlineLevel="0" collapsed="false">
      <c r="A68" s="21"/>
      <c r="B68" s="20"/>
      <c r="C68" s="20"/>
      <c r="D68" s="20"/>
      <c r="E68" s="20"/>
    </row>
    <row r="69" customFormat="false" ht="15" hidden="false" customHeight="false" outlineLevel="0" collapsed="false">
      <c r="A69" s="21"/>
      <c r="B69" s="20"/>
      <c r="C69" s="20"/>
      <c r="D69" s="20"/>
      <c r="E69" s="20"/>
    </row>
    <row r="70" customFormat="false" ht="15" hidden="false" customHeight="false" outlineLevel="0" collapsed="false">
      <c r="A70" s="21"/>
      <c r="B70" s="20"/>
      <c r="C70" s="20"/>
      <c r="D70" s="20"/>
      <c r="E70" s="20"/>
    </row>
    <row r="71" customFormat="false" ht="15" hidden="false" customHeight="false" outlineLevel="0" collapsed="false">
      <c r="A71" s="21"/>
      <c r="B71" s="20"/>
      <c r="C71" s="20"/>
      <c r="D71" s="20"/>
      <c r="E71" s="20"/>
    </row>
    <row r="72" customFormat="false" ht="15" hidden="false" customHeight="false" outlineLevel="0" collapsed="false">
      <c r="A72" s="21"/>
      <c r="B72" s="20"/>
      <c r="C72" s="20"/>
      <c r="D72" s="20"/>
      <c r="E72" s="20"/>
    </row>
    <row r="73" customFormat="false" ht="15" hidden="false" customHeight="false" outlineLevel="0" collapsed="false">
      <c r="A73" s="21"/>
      <c r="B73" s="20"/>
      <c r="C73" s="20"/>
      <c r="D73" s="20"/>
      <c r="E73" s="20"/>
    </row>
    <row r="74" customFormat="false" ht="15" hidden="false" customHeight="false" outlineLevel="0" collapsed="false">
      <c r="A74" s="21"/>
      <c r="B74" s="20"/>
      <c r="C74" s="20"/>
      <c r="D74" s="20"/>
      <c r="E74" s="20"/>
    </row>
    <row r="75" customFormat="false" ht="15" hidden="false" customHeight="false" outlineLevel="0" collapsed="false">
      <c r="A75" s="21"/>
      <c r="B75" s="20"/>
      <c r="C75" s="20"/>
      <c r="D75" s="20"/>
      <c r="E75" s="20"/>
    </row>
    <row r="76" customFormat="false" ht="15" hidden="false" customHeight="false" outlineLevel="0" collapsed="false">
      <c r="A76" s="21"/>
      <c r="B76" s="20"/>
      <c r="C76" s="20"/>
      <c r="D76" s="20"/>
      <c r="E76" s="20"/>
    </row>
    <row r="77" customFormat="false" ht="15" hidden="false" customHeight="false" outlineLevel="0" collapsed="false">
      <c r="A77" s="21"/>
      <c r="B77" s="20"/>
      <c r="C77" s="20"/>
      <c r="D77" s="20"/>
      <c r="E77" s="20"/>
    </row>
    <row r="78" customFormat="false" ht="15" hidden="false" customHeight="false" outlineLevel="0" collapsed="false">
      <c r="A78" s="21"/>
      <c r="B78" s="20"/>
      <c r="C78" s="20"/>
      <c r="D78" s="20"/>
      <c r="E78" s="20"/>
    </row>
    <row r="79" customFormat="false" ht="15" hidden="false" customHeight="false" outlineLevel="0" collapsed="false">
      <c r="A79" s="21"/>
      <c r="B79" s="20"/>
      <c r="C79" s="20"/>
      <c r="D79" s="20"/>
      <c r="E79" s="20"/>
    </row>
    <row r="80" customFormat="false" ht="15" hidden="false" customHeight="false" outlineLevel="0" collapsed="false">
      <c r="A80" s="21"/>
      <c r="B80" s="20"/>
      <c r="C80" s="20"/>
      <c r="D80" s="20"/>
      <c r="E80" s="20"/>
    </row>
    <row r="81" customFormat="false" ht="15" hidden="false" customHeight="false" outlineLevel="0" collapsed="false">
      <c r="A81" s="21"/>
      <c r="B81" s="20"/>
      <c r="C81" s="20"/>
      <c r="D81" s="20"/>
      <c r="E81" s="20"/>
    </row>
    <row r="82" customFormat="false" ht="15" hidden="false" customHeight="false" outlineLevel="0" collapsed="false">
      <c r="A82" s="21"/>
      <c r="B82" s="20"/>
      <c r="C82" s="20"/>
      <c r="D82" s="20"/>
      <c r="E82" s="20"/>
    </row>
    <row r="83" customFormat="false" ht="15" hidden="false" customHeight="false" outlineLevel="0" collapsed="false">
      <c r="A83" s="21"/>
      <c r="B83" s="20"/>
      <c r="C83" s="20"/>
      <c r="D83" s="20"/>
      <c r="E83" s="20"/>
    </row>
    <row r="84" customFormat="false" ht="15" hidden="false" customHeight="false" outlineLevel="0" collapsed="false">
      <c r="A84" s="21"/>
      <c r="B84" s="20"/>
      <c r="C84" s="20"/>
      <c r="D84" s="20"/>
      <c r="E84" s="20"/>
    </row>
    <row r="85" customFormat="false" ht="15" hidden="false" customHeight="false" outlineLevel="0" collapsed="false">
      <c r="A85" s="21"/>
      <c r="B85" s="20"/>
      <c r="C85" s="20"/>
      <c r="D85" s="20"/>
      <c r="E85" s="20"/>
    </row>
    <row r="86" customFormat="false" ht="15" hidden="false" customHeight="false" outlineLevel="0" collapsed="false">
      <c r="A86" s="21"/>
      <c r="B86" s="20"/>
      <c r="C86" s="20"/>
      <c r="D86" s="20"/>
      <c r="E86" s="20"/>
    </row>
    <row r="87" customFormat="false" ht="15" hidden="false" customHeight="false" outlineLevel="0" collapsed="false">
      <c r="A87" s="21"/>
      <c r="B87" s="20"/>
      <c r="C87" s="20"/>
      <c r="D87" s="20"/>
      <c r="E87" s="20"/>
    </row>
    <row r="88" customFormat="false" ht="15" hidden="false" customHeight="false" outlineLevel="0" collapsed="false">
      <c r="A88" s="21"/>
      <c r="B88" s="20"/>
      <c r="C88" s="20"/>
      <c r="D88" s="20"/>
      <c r="E88" s="20"/>
    </row>
    <row r="89" customFormat="false" ht="15" hidden="false" customHeight="false" outlineLevel="0" collapsed="false">
      <c r="A89" s="21"/>
      <c r="B89" s="20"/>
      <c r="C89" s="20"/>
      <c r="D89" s="20"/>
      <c r="E89" s="20"/>
    </row>
    <row r="90" customFormat="false" ht="15" hidden="false" customHeight="false" outlineLevel="0" collapsed="false">
      <c r="A90" s="21"/>
      <c r="B90" s="20"/>
      <c r="C90" s="20"/>
      <c r="D90" s="20"/>
      <c r="E90" s="20"/>
    </row>
    <row r="91" customFormat="false" ht="15" hidden="false" customHeight="false" outlineLevel="0" collapsed="false">
      <c r="A91" s="21"/>
      <c r="B91" s="20"/>
      <c r="C91" s="20"/>
      <c r="D91" s="20"/>
      <c r="E91" s="20"/>
    </row>
    <row r="92" customFormat="false" ht="15" hidden="false" customHeight="false" outlineLevel="0" collapsed="false">
      <c r="A92" s="21"/>
      <c r="B92" s="20"/>
      <c r="C92" s="20"/>
      <c r="D92" s="20"/>
      <c r="E92" s="20"/>
    </row>
    <row r="93" customFormat="false" ht="15" hidden="false" customHeight="false" outlineLevel="0" collapsed="false">
      <c r="A93" s="21"/>
      <c r="B93" s="20"/>
      <c r="C93" s="20"/>
      <c r="D93" s="20"/>
      <c r="E93" s="20"/>
    </row>
    <row r="94" customFormat="false" ht="15" hidden="false" customHeight="false" outlineLevel="0" collapsed="false">
      <c r="A94" s="21"/>
      <c r="B94" s="20"/>
      <c r="C94" s="20"/>
      <c r="D94" s="20"/>
      <c r="E94" s="20"/>
    </row>
    <row r="95" customFormat="false" ht="15" hidden="false" customHeight="false" outlineLevel="0" collapsed="false">
      <c r="A95" s="21"/>
      <c r="B95" s="20"/>
      <c r="C95" s="20"/>
      <c r="D95" s="20"/>
      <c r="E95" s="20"/>
    </row>
    <row r="96" customFormat="false" ht="15" hidden="false" customHeight="false" outlineLevel="0" collapsed="false">
      <c r="A96" s="21"/>
      <c r="B96" s="20"/>
      <c r="C96" s="20"/>
      <c r="D96" s="20"/>
      <c r="E96" s="20"/>
    </row>
    <row r="97" customFormat="false" ht="15" hidden="false" customHeight="false" outlineLevel="0" collapsed="false">
      <c r="A97" s="21"/>
      <c r="B97" s="20"/>
      <c r="C97" s="20"/>
      <c r="D97" s="20"/>
      <c r="E97" s="20"/>
    </row>
    <row r="98" customFormat="false" ht="15" hidden="false" customHeight="false" outlineLevel="0" collapsed="false">
      <c r="A98" s="21"/>
      <c r="B98" s="20"/>
      <c r="C98" s="20"/>
      <c r="D98" s="20"/>
      <c r="E98" s="20"/>
    </row>
    <row r="99" customFormat="false" ht="15" hidden="false" customHeight="false" outlineLevel="0" collapsed="false">
      <c r="A99" s="21"/>
      <c r="B99" s="20"/>
      <c r="C99" s="20"/>
      <c r="D99" s="20"/>
      <c r="E99" s="20"/>
    </row>
    <row r="100" customFormat="false" ht="15" hidden="false" customHeight="false" outlineLevel="0" collapsed="false">
      <c r="A100" s="21"/>
      <c r="B100" s="20"/>
      <c r="C100" s="20"/>
      <c r="D100" s="20"/>
      <c r="E100" s="20"/>
    </row>
    <row r="101" customFormat="false" ht="15" hidden="false" customHeight="false" outlineLevel="0" collapsed="false">
      <c r="A101" s="21"/>
      <c r="B101" s="20"/>
      <c r="C101" s="20"/>
      <c r="D101" s="20"/>
      <c r="E101" s="20"/>
    </row>
    <row r="102" customFormat="false" ht="15" hidden="false" customHeight="false" outlineLevel="0" collapsed="false">
      <c r="A102" s="21"/>
      <c r="B102" s="20"/>
      <c r="C102" s="20"/>
      <c r="D102" s="20"/>
      <c r="E102" s="20"/>
    </row>
    <row r="103" customFormat="false" ht="15" hidden="false" customHeight="false" outlineLevel="0" collapsed="false">
      <c r="A103" s="21"/>
      <c r="B103" s="20"/>
      <c r="C103" s="20"/>
      <c r="D103" s="20"/>
      <c r="E103" s="20"/>
    </row>
    <row r="104" customFormat="false" ht="15" hidden="false" customHeight="false" outlineLevel="0" collapsed="false">
      <c r="A104" s="21"/>
      <c r="B104" s="20"/>
      <c r="C104" s="20"/>
      <c r="D104" s="20"/>
      <c r="E104" s="20"/>
    </row>
    <row r="105" customFormat="false" ht="15" hidden="false" customHeight="false" outlineLevel="0" collapsed="false">
      <c r="A105" s="21"/>
      <c r="B105" s="20"/>
      <c r="C105" s="20"/>
      <c r="D105" s="20"/>
      <c r="E105" s="20"/>
    </row>
    <row r="106" customFormat="false" ht="15" hidden="false" customHeight="false" outlineLevel="0" collapsed="false">
      <c r="A106" s="21"/>
      <c r="B106" s="20"/>
      <c r="C106" s="20"/>
      <c r="D106" s="20"/>
      <c r="E106" s="20"/>
    </row>
    <row r="107" customFormat="false" ht="15" hidden="false" customHeight="false" outlineLevel="0" collapsed="false">
      <c r="A107" s="21"/>
      <c r="B107" s="20"/>
      <c r="C107" s="20"/>
      <c r="D107" s="20"/>
      <c r="E107" s="20"/>
    </row>
    <row r="108" customFormat="false" ht="15" hidden="false" customHeight="false" outlineLevel="0" collapsed="false">
      <c r="A108" s="21"/>
      <c r="B108" s="20"/>
      <c r="C108" s="20"/>
      <c r="D108" s="20"/>
      <c r="E108" s="20"/>
    </row>
    <row r="109" customFormat="false" ht="15" hidden="false" customHeight="false" outlineLevel="0" collapsed="false">
      <c r="A109" s="21"/>
      <c r="B109" s="20"/>
      <c r="C109" s="20"/>
      <c r="D109" s="20"/>
      <c r="E109" s="20"/>
    </row>
    <row r="110" customFormat="false" ht="15" hidden="false" customHeight="false" outlineLevel="0" collapsed="false">
      <c r="A110" s="21"/>
      <c r="B110" s="20"/>
      <c r="C110" s="20"/>
      <c r="D110" s="20"/>
      <c r="E110" s="20"/>
    </row>
    <row r="111" customFormat="false" ht="15" hidden="false" customHeight="false" outlineLevel="0" collapsed="false">
      <c r="A111" s="21"/>
      <c r="B111" s="20"/>
      <c r="C111" s="20"/>
      <c r="D111" s="20"/>
      <c r="E111" s="20"/>
    </row>
    <row r="112" customFormat="false" ht="15" hidden="false" customHeight="false" outlineLevel="0" collapsed="false">
      <c r="A112" s="21"/>
      <c r="B112" s="20"/>
      <c r="C112" s="20"/>
      <c r="D112" s="20"/>
      <c r="E112" s="20"/>
    </row>
    <row r="113" customFormat="false" ht="15" hidden="false" customHeight="false" outlineLevel="0" collapsed="false">
      <c r="A113" s="21"/>
      <c r="B113" s="20"/>
      <c r="C113" s="20"/>
      <c r="D113" s="20"/>
      <c r="E113" s="20"/>
    </row>
    <row r="114" customFormat="false" ht="15" hidden="false" customHeight="false" outlineLevel="0" collapsed="false">
      <c r="A114" s="21"/>
      <c r="B114" s="20"/>
      <c r="C114" s="20"/>
      <c r="D114" s="20"/>
      <c r="E114" s="20"/>
    </row>
    <row r="115" customFormat="false" ht="15" hidden="false" customHeight="false" outlineLevel="0" collapsed="false">
      <c r="A115" s="21"/>
      <c r="B115" s="20"/>
      <c r="C115" s="20"/>
      <c r="D115" s="20"/>
      <c r="E115" s="20"/>
    </row>
    <row r="116" customFormat="false" ht="15" hidden="false" customHeight="false" outlineLevel="0" collapsed="false">
      <c r="A116" s="21"/>
      <c r="B116" s="20"/>
      <c r="C116" s="20"/>
      <c r="D116" s="20"/>
      <c r="E116" s="20"/>
    </row>
    <row r="117" customFormat="false" ht="15" hidden="false" customHeight="false" outlineLevel="0" collapsed="false">
      <c r="A117" s="21"/>
      <c r="B117" s="20"/>
      <c r="C117" s="20"/>
      <c r="D117" s="20"/>
      <c r="E117" s="20"/>
    </row>
    <row r="118" customFormat="false" ht="15" hidden="false" customHeight="false" outlineLevel="0" collapsed="false">
      <c r="A118" s="21"/>
      <c r="B118" s="20"/>
      <c r="C118" s="20"/>
      <c r="D118" s="20"/>
      <c r="E118" s="20"/>
    </row>
    <row r="119" customFormat="false" ht="15" hidden="false" customHeight="false" outlineLevel="0" collapsed="false">
      <c r="A119" s="21"/>
      <c r="B119" s="20"/>
      <c r="C119" s="20"/>
      <c r="D119" s="20"/>
      <c r="E119" s="20"/>
    </row>
    <row r="120" customFormat="false" ht="15" hidden="false" customHeight="false" outlineLevel="0" collapsed="false">
      <c r="A120" s="21"/>
      <c r="B120" s="20"/>
      <c r="C120" s="20"/>
      <c r="D120" s="20"/>
      <c r="E120" s="20"/>
    </row>
    <row r="121" customFormat="false" ht="15" hidden="false" customHeight="false" outlineLevel="0" collapsed="false">
      <c r="A121" s="21"/>
      <c r="B121" s="20"/>
      <c r="C121" s="20"/>
      <c r="D121" s="20"/>
      <c r="E121" s="20"/>
    </row>
    <row r="122" customFormat="false" ht="15" hidden="false" customHeight="false" outlineLevel="0" collapsed="false">
      <c r="A122" s="21"/>
      <c r="B122" s="20"/>
      <c r="C122" s="20"/>
      <c r="D122" s="20"/>
      <c r="E122" s="20"/>
    </row>
    <row r="123" customFormat="false" ht="15" hidden="false" customHeight="false" outlineLevel="0" collapsed="false">
      <c r="A123" s="21"/>
      <c r="B123" s="20"/>
      <c r="C123" s="20"/>
      <c r="D123" s="20"/>
      <c r="E123" s="20"/>
    </row>
    <row r="124" customFormat="false" ht="15" hidden="false" customHeight="false" outlineLevel="0" collapsed="false">
      <c r="A124" s="21"/>
      <c r="B124" s="20"/>
      <c r="C124" s="20"/>
      <c r="D124" s="20"/>
      <c r="E124" s="20"/>
    </row>
    <row r="125" customFormat="false" ht="15" hidden="false" customHeight="false" outlineLevel="0" collapsed="false">
      <c r="A125" s="21"/>
      <c r="B125" s="20"/>
      <c r="C125" s="20"/>
      <c r="D125" s="20"/>
      <c r="E125" s="20"/>
    </row>
    <row r="126" customFormat="false" ht="15" hidden="false" customHeight="false" outlineLevel="0" collapsed="false">
      <c r="A126" s="21"/>
      <c r="B126" s="20"/>
      <c r="C126" s="20"/>
      <c r="D126" s="20"/>
      <c r="E126" s="20"/>
    </row>
    <row r="127" customFormat="false" ht="15" hidden="false" customHeight="false" outlineLevel="0" collapsed="false">
      <c r="A127" s="21"/>
      <c r="B127" s="20"/>
      <c r="C127" s="20"/>
      <c r="D127" s="20"/>
      <c r="E127" s="20"/>
    </row>
    <row r="128" customFormat="false" ht="15" hidden="false" customHeight="false" outlineLevel="0" collapsed="false">
      <c r="A128" s="21"/>
      <c r="B128" s="20"/>
      <c r="C128" s="20"/>
      <c r="D128" s="20"/>
      <c r="E128" s="20"/>
    </row>
    <row r="129" customFormat="false" ht="15" hidden="false" customHeight="false" outlineLevel="0" collapsed="false">
      <c r="A129" s="21"/>
      <c r="B129" s="20"/>
      <c r="C129" s="20"/>
      <c r="D129" s="20"/>
      <c r="E129" s="20"/>
    </row>
    <row r="130" customFormat="false" ht="15" hidden="false" customHeight="false" outlineLevel="0" collapsed="false">
      <c r="A130" s="21"/>
      <c r="B130" s="20"/>
      <c r="C130" s="20"/>
      <c r="D130" s="20"/>
      <c r="E130" s="20"/>
    </row>
    <row r="131" customFormat="false" ht="15" hidden="false" customHeight="false" outlineLevel="0" collapsed="false">
      <c r="A131" s="21"/>
      <c r="B131" s="20"/>
      <c r="C131" s="20"/>
      <c r="D131" s="20"/>
      <c r="E131" s="20"/>
    </row>
    <row r="132" customFormat="false" ht="15" hidden="false" customHeight="false" outlineLevel="0" collapsed="false">
      <c r="A132" s="21"/>
      <c r="B132" s="20"/>
      <c r="C132" s="20"/>
      <c r="D132" s="20"/>
      <c r="E132" s="20"/>
    </row>
    <row r="133" customFormat="false" ht="15" hidden="false" customHeight="false" outlineLevel="0" collapsed="false">
      <c r="A133" s="21"/>
      <c r="B133" s="20"/>
      <c r="C133" s="20"/>
      <c r="D133" s="20"/>
      <c r="E133" s="20"/>
    </row>
    <row r="134" customFormat="false" ht="15" hidden="false" customHeight="false" outlineLevel="0" collapsed="false">
      <c r="A134" s="21"/>
      <c r="B134" s="20"/>
      <c r="C134" s="20"/>
      <c r="D134" s="20"/>
      <c r="E134" s="20"/>
    </row>
    <row r="135" customFormat="false" ht="15" hidden="false" customHeight="false" outlineLevel="0" collapsed="false">
      <c r="A135" s="21"/>
      <c r="B135" s="20"/>
      <c r="C135" s="20"/>
      <c r="D135" s="20"/>
      <c r="E135" s="20"/>
    </row>
    <row r="136" customFormat="false" ht="15" hidden="false" customHeight="false" outlineLevel="0" collapsed="false">
      <c r="A136" s="21"/>
      <c r="B136" s="20"/>
      <c r="C136" s="20"/>
      <c r="D136" s="20"/>
      <c r="E136" s="20"/>
    </row>
    <row r="137" customFormat="false" ht="15" hidden="false" customHeight="false" outlineLevel="0" collapsed="false">
      <c r="A137" s="21"/>
      <c r="B137" s="20"/>
      <c r="C137" s="20"/>
      <c r="D137" s="20"/>
      <c r="E137" s="20"/>
    </row>
    <row r="138" customFormat="false" ht="15" hidden="false" customHeight="false" outlineLevel="0" collapsed="false">
      <c r="A138" s="21"/>
      <c r="B138" s="20"/>
      <c r="C138" s="20"/>
      <c r="D138" s="20"/>
      <c r="E138" s="20"/>
    </row>
    <row r="139" customFormat="false" ht="15" hidden="false" customHeight="false" outlineLevel="0" collapsed="false">
      <c r="A139" s="21"/>
      <c r="B139" s="20"/>
      <c r="C139" s="20"/>
      <c r="D139" s="20"/>
      <c r="E139" s="20"/>
    </row>
    <row r="140" customFormat="false" ht="15" hidden="false" customHeight="false" outlineLevel="0" collapsed="false">
      <c r="A140" s="21"/>
      <c r="B140" s="20"/>
      <c r="C140" s="20"/>
      <c r="D140" s="20"/>
      <c r="E140" s="20"/>
    </row>
    <row r="141" customFormat="false" ht="15" hidden="false" customHeight="false" outlineLevel="0" collapsed="false">
      <c r="A141" s="21"/>
      <c r="B141" s="20"/>
      <c r="C141" s="20"/>
      <c r="D141" s="20"/>
      <c r="E141" s="20"/>
    </row>
    <row r="142" customFormat="false" ht="15" hidden="false" customHeight="false" outlineLevel="0" collapsed="false">
      <c r="A142" s="21"/>
      <c r="B142" s="20"/>
      <c r="C142" s="20"/>
      <c r="D142" s="20"/>
      <c r="E142" s="20"/>
    </row>
    <row r="143" customFormat="false" ht="15" hidden="false" customHeight="false" outlineLevel="0" collapsed="false">
      <c r="A143" s="21"/>
      <c r="B143" s="20"/>
      <c r="C143" s="20"/>
      <c r="D143" s="20"/>
      <c r="E143" s="20"/>
    </row>
    <row r="144" customFormat="false" ht="15" hidden="false" customHeight="false" outlineLevel="0" collapsed="false">
      <c r="A144" s="21"/>
      <c r="B144" s="20"/>
      <c r="C144" s="20"/>
      <c r="D144" s="20"/>
      <c r="E144" s="20"/>
    </row>
    <row r="145" customFormat="false" ht="15" hidden="false" customHeight="false" outlineLevel="0" collapsed="false">
      <c r="A145" s="21"/>
      <c r="B145" s="20"/>
      <c r="C145" s="20"/>
      <c r="D145" s="20"/>
      <c r="E145" s="20"/>
    </row>
    <row r="146" customFormat="false" ht="15" hidden="false" customHeight="false" outlineLevel="0" collapsed="false">
      <c r="A146" s="21"/>
      <c r="B146" s="20"/>
      <c r="C146" s="20"/>
      <c r="D146" s="20"/>
      <c r="E146" s="20"/>
    </row>
    <row r="147" customFormat="false" ht="15" hidden="false" customHeight="false" outlineLevel="0" collapsed="false">
      <c r="A147" s="21"/>
      <c r="B147" s="20"/>
      <c r="C147" s="20"/>
      <c r="D147" s="20"/>
      <c r="E147" s="20"/>
    </row>
    <row r="148" customFormat="false" ht="15" hidden="false" customHeight="false" outlineLevel="0" collapsed="false">
      <c r="A148" s="21"/>
      <c r="B148" s="20"/>
      <c r="C148" s="20"/>
      <c r="D148" s="20"/>
      <c r="E148" s="20"/>
    </row>
    <row r="149" customFormat="false" ht="15" hidden="false" customHeight="false" outlineLevel="0" collapsed="false">
      <c r="A149" s="21"/>
      <c r="B149" s="20"/>
      <c r="C149" s="20"/>
      <c r="D149" s="20"/>
      <c r="E149" s="20"/>
    </row>
    <row r="150" customFormat="false" ht="15" hidden="false" customHeight="false" outlineLevel="0" collapsed="false">
      <c r="A150" s="21"/>
      <c r="B150" s="20"/>
      <c r="C150" s="20"/>
      <c r="D150" s="20"/>
      <c r="E150" s="20"/>
    </row>
    <row r="151" customFormat="false" ht="15" hidden="false" customHeight="false" outlineLevel="0" collapsed="false">
      <c r="A151" s="21"/>
      <c r="B151" s="20"/>
      <c r="C151" s="20"/>
      <c r="D151" s="20"/>
      <c r="E151" s="20"/>
    </row>
    <row r="152" customFormat="false" ht="15" hidden="false" customHeight="false" outlineLevel="0" collapsed="false">
      <c r="A152" s="21"/>
      <c r="B152" s="20"/>
      <c r="C152" s="20"/>
      <c r="D152" s="20"/>
      <c r="E152" s="20"/>
    </row>
    <row r="153" customFormat="false" ht="15" hidden="false" customHeight="false" outlineLevel="0" collapsed="false">
      <c r="A153" s="21"/>
      <c r="B153" s="20"/>
      <c r="C153" s="20"/>
      <c r="D153" s="20"/>
      <c r="E153" s="20"/>
    </row>
    <row r="154" customFormat="false" ht="15" hidden="false" customHeight="false" outlineLevel="0" collapsed="false">
      <c r="A154" s="21"/>
      <c r="B154" s="20"/>
      <c r="C154" s="20"/>
      <c r="D154" s="20"/>
      <c r="E154" s="20"/>
    </row>
    <row r="155" customFormat="false" ht="15" hidden="false" customHeight="false" outlineLevel="0" collapsed="false">
      <c r="A155" s="21"/>
      <c r="B155" s="20"/>
      <c r="C155" s="20"/>
      <c r="D155" s="20"/>
      <c r="E155" s="20"/>
    </row>
    <row r="156" customFormat="false" ht="15" hidden="false" customHeight="false" outlineLevel="0" collapsed="false">
      <c r="A156" s="21"/>
      <c r="B156" s="20"/>
      <c r="C156" s="20"/>
      <c r="D156" s="20"/>
      <c r="E156" s="20"/>
    </row>
    <row r="157" customFormat="false" ht="15" hidden="false" customHeight="false" outlineLevel="0" collapsed="false">
      <c r="A157" s="21"/>
      <c r="B157" s="20"/>
      <c r="C157" s="20"/>
      <c r="D157" s="20"/>
      <c r="E157" s="20"/>
    </row>
    <row r="158" customFormat="false" ht="15" hidden="false" customHeight="false" outlineLevel="0" collapsed="false">
      <c r="A158" s="21"/>
      <c r="B158" s="20"/>
      <c r="C158" s="20"/>
      <c r="D158" s="20"/>
      <c r="E158" s="20"/>
    </row>
    <row r="159" customFormat="false" ht="15" hidden="false" customHeight="false" outlineLevel="0" collapsed="false">
      <c r="A159" s="21"/>
      <c r="B159" s="20"/>
      <c r="C159" s="20"/>
      <c r="D159" s="20"/>
      <c r="E159" s="20"/>
    </row>
    <row r="160" customFormat="false" ht="15" hidden="false" customHeight="false" outlineLevel="0" collapsed="false">
      <c r="A160" s="21"/>
      <c r="B160" s="20"/>
      <c r="C160" s="20"/>
      <c r="D160" s="20"/>
      <c r="E160" s="20"/>
    </row>
    <row r="161" customFormat="false" ht="15" hidden="false" customHeight="false" outlineLevel="0" collapsed="false">
      <c r="A161" s="21"/>
      <c r="B161" s="20"/>
      <c r="C161" s="20"/>
      <c r="D161" s="20"/>
      <c r="E161" s="20"/>
    </row>
    <row r="162" customFormat="false" ht="15" hidden="false" customHeight="false" outlineLevel="0" collapsed="false">
      <c r="A162" s="21"/>
      <c r="B162" s="20"/>
      <c r="C162" s="20"/>
      <c r="D162" s="20"/>
      <c r="E162" s="20"/>
    </row>
    <row r="163" customFormat="false" ht="15" hidden="false" customHeight="false" outlineLevel="0" collapsed="false">
      <c r="A163" s="21"/>
      <c r="B163" s="20"/>
      <c r="C163" s="20"/>
      <c r="D163" s="20"/>
      <c r="E163" s="20"/>
    </row>
    <row r="164" customFormat="false" ht="15" hidden="false" customHeight="false" outlineLevel="0" collapsed="false">
      <c r="A164" s="21"/>
      <c r="B164" s="20"/>
      <c r="C164" s="20"/>
      <c r="D164" s="20"/>
      <c r="E164" s="20"/>
    </row>
    <row r="165" customFormat="false" ht="15" hidden="false" customHeight="false" outlineLevel="0" collapsed="false">
      <c r="A165" s="21"/>
      <c r="B165" s="20"/>
      <c r="C165" s="20"/>
      <c r="D165" s="20"/>
      <c r="E165" s="20"/>
    </row>
    <row r="166" customFormat="false" ht="15" hidden="false" customHeight="false" outlineLevel="0" collapsed="false">
      <c r="A166" s="21"/>
      <c r="B166" s="20"/>
      <c r="C166" s="20"/>
      <c r="D166" s="20"/>
      <c r="E166" s="20"/>
    </row>
    <row r="167" customFormat="false" ht="15" hidden="false" customHeight="false" outlineLevel="0" collapsed="false">
      <c r="A167" s="21"/>
      <c r="B167" s="20"/>
      <c r="C167" s="20"/>
      <c r="D167" s="20"/>
      <c r="E167" s="20"/>
    </row>
    <row r="168" customFormat="false" ht="15" hidden="false" customHeight="false" outlineLevel="0" collapsed="false">
      <c r="A168" s="21"/>
      <c r="B168" s="20"/>
      <c r="C168" s="20"/>
      <c r="D168" s="20"/>
      <c r="E168" s="20"/>
    </row>
    <row r="169" customFormat="false" ht="15" hidden="false" customHeight="false" outlineLevel="0" collapsed="false">
      <c r="A169" s="21"/>
      <c r="B169" s="20"/>
      <c r="C169" s="20"/>
      <c r="D169" s="20"/>
      <c r="E169" s="20"/>
    </row>
    <row r="170" customFormat="false" ht="15" hidden="false" customHeight="false" outlineLevel="0" collapsed="false">
      <c r="A170" s="21"/>
      <c r="B170" s="20"/>
      <c r="C170" s="20"/>
      <c r="D170" s="20"/>
      <c r="E170" s="20"/>
    </row>
    <row r="171" customFormat="false" ht="15" hidden="false" customHeight="false" outlineLevel="0" collapsed="false">
      <c r="A171" s="21"/>
      <c r="B171" s="20"/>
      <c r="C171" s="20"/>
      <c r="D171" s="20"/>
      <c r="E171" s="20"/>
    </row>
    <row r="172" customFormat="false" ht="15" hidden="false" customHeight="false" outlineLevel="0" collapsed="false">
      <c r="A172" s="21"/>
      <c r="B172" s="20"/>
      <c r="C172" s="20"/>
      <c r="D172" s="20"/>
      <c r="E172" s="20"/>
    </row>
    <row r="173" customFormat="false" ht="15" hidden="false" customHeight="false" outlineLevel="0" collapsed="false">
      <c r="A173" s="21"/>
      <c r="B173" s="20"/>
      <c r="C173" s="20"/>
      <c r="D173" s="20"/>
      <c r="E173" s="20"/>
    </row>
    <row r="174" customFormat="false" ht="15" hidden="false" customHeight="false" outlineLevel="0" collapsed="false">
      <c r="A174" s="21"/>
      <c r="B174" s="20"/>
      <c r="C174" s="20"/>
      <c r="D174" s="20"/>
      <c r="E174" s="20"/>
    </row>
    <row r="175" customFormat="false" ht="15" hidden="false" customHeight="false" outlineLevel="0" collapsed="false">
      <c r="A175" s="21"/>
      <c r="B175" s="20"/>
      <c r="C175" s="20"/>
      <c r="D175" s="20"/>
      <c r="E175" s="20"/>
    </row>
    <row r="176" customFormat="false" ht="15" hidden="false" customHeight="false" outlineLevel="0" collapsed="false">
      <c r="A176" s="21"/>
      <c r="B176" s="20"/>
      <c r="C176" s="20"/>
      <c r="D176" s="20"/>
      <c r="E176" s="20"/>
    </row>
    <row r="177" customFormat="false" ht="15" hidden="false" customHeight="false" outlineLevel="0" collapsed="false">
      <c r="A177" s="21"/>
      <c r="B177" s="20"/>
      <c r="C177" s="20"/>
      <c r="D177" s="20"/>
      <c r="E177" s="20"/>
    </row>
    <row r="178" customFormat="false" ht="15" hidden="false" customHeight="false" outlineLevel="0" collapsed="false">
      <c r="A178" s="21"/>
      <c r="B178" s="20"/>
      <c r="C178" s="20"/>
      <c r="D178" s="20"/>
      <c r="E178" s="20"/>
    </row>
    <row r="179" customFormat="false" ht="15" hidden="false" customHeight="false" outlineLevel="0" collapsed="false">
      <c r="A179" s="21"/>
      <c r="B179" s="20"/>
      <c r="C179" s="20"/>
      <c r="D179" s="20"/>
      <c r="E179" s="20"/>
    </row>
    <row r="180" customFormat="false" ht="15" hidden="false" customHeight="false" outlineLevel="0" collapsed="false">
      <c r="A180" s="21"/>
      <c r="B180" s="20"/>
      <c r="C180" s="20"/>
      <c r="D180" s="20"/>
      <c r="E180" s="20"/>
    </row>
    <row r="181" customFormat="false" ht="15" hidden="false" customHeight="false" outlineLevel="0" collapsed="false">
      <c r="A181" s="21"/>
      <c r="B181" s="20"/>
      <c r="C181" s="20"/>
      <c r="D181" s="20"/>
      <c r="E181" s="20"/>
    </row>
    <row r="182" customFormat="false" ht="15" hidden="false" customHeight="false" outlineLevel="0" collapsed="false">
      <c r="A182" s="21"/>
      <c r="B182" s="20"/>
      <c r="C182" s="20"/>
      <c r="D182" s="20"/>
      <c r="E182" s="20"/>
    </row>
    <row r="183" customFormat="false" ht="15" hidden="false" customHeight="false" outlineLevel="0" collapsed="false">
      <c r="A183" s="21"/>
      <c r="B183" s="20"/>
      <c r="C183" s="20"/>
      <c r="D183" s="20"/>
      <c r="E183" s="20"/>
    </row>
    <row r="184" customFormat="false" ht="15" hidden="false" customHeight="false" outlineLevel="0" collapsed="false">
      <c r="A184" s="21"/>
      <c r="B184" s="20"/>
      <c r="C184" s="20"/>
      <c r="D184" s="20"/>
      <c r="E184" s="20"/>
    </row>
    <row r="185" customFormat="false" ht="15" hidden="false" customHeight="false" outlineLevel="0" collapsed="false">
      <c r="A185" s="21"/>
      <c r="B185" s="20"/>
      <c r="C185" s="20"/>
      <c r="D185" s="20"/>
      <c r="E185" s="20"/>
    </row>
    <row r="186" customFormat="false" ht="15" hidden="false" customHeight="false" outlineLevel="0" collapsed="false">
      <c r="A186" s="21"/>
      <c r="B186" s="20"/>
      <c r="C186" s="20"/>
      <c r="D186" s="20"/>
      <c r="E186" s="20"/>
    </row>
    <row r="187" customFormat="false" ht="15" hidden="false" customHeight="false" outlineLevel="0" collapsed="false">
      <c r="A187" s="21"/>
      <c r="B187" s="20"/>
      <c r="C187" s="20"/>
      <c r="D187" s="20"/>
      <c r="E187" s="20"/>
    </row>
    <row r="188" customFormat="false" ht="15" hidden="false" customHeight="false" outlineLevel="0" collapsed="false">
      <c r="A188" s="21"/>
      <c r="B188" s="20"/>
      <c r="C188" s="20"/>
      <c r="D188" s="20"/>
      <c r="E188" s="20"/>
    </row>
    <row r="189" customFormat="false" ht="15" hidden="false" customHeight="false" outlineLevel="0" collapsed="false">
      <c r="A189" s="21"/>
      <c r="B189" s="20"/>
      <c r="C189" s="20"/>
      <c r="D189" s="20"/>
      <c r="E189" s="20"/>
    </row>
    <row r="190" customFormat="false" ht="15" hidden="false" customHeight="false" outlineLevel="0" collapsed="false">
      <c r="A190" s="21"/>
      <c r="B190" s="20"/>
      <c r="C190" s="20"/>
      <c r="D190" s="20"/>
      <c r="E190" s="20"/>
    </row>
    <row r="191" customFormat="false" ht="15" hidden="false" customHeight="false" outlineLevel="0" collapsed="false">
      <c r="A191" s="21"/>
      <c r="B191" s="20"/>
      <c r="C191" s="20"/>
      <c r="D191" s="20"/>
      <c r="E191" s="20"/>
    </row>
    <row r="192" customFormat="false" ht="15" hidden="false" customHeight="false" outlineLevel="0" collapsed="false">
      <c r="A192" s="21"/>
      <c r="B192" s="20"/>
      <c r="C192" s="20"/>
      <c r="D192" s="20"/>
      <c r="E192" s="20"/>
    </row>
    <row r="193" customFormat="false" ht="15" hidden="false" customHeight="false" outlineLevel="0" collapsed="false">
      <c r="A193" s="21"/>
      <c r="B193" s="20"/>
      <c r="C193" s="20"/>
      <c r="D193" s="20"/>
      <c r="E193" s="20"/>
    </row>
    <row r="194" customFormat="false" ht="15" hidden="false" customHeight="false" outlineLevel="0" collapsed="false">
      <c r="A194" s="21"/>
      <c r="B194" s="20"/>
      <c r="C194" s="20"/>
      <c r="D194" s="20"/>
      <c r="E194" s="20"/>
    </row>
    <row r="195" customFormat="false" ht="15" hidden="false" customHeight="false" outlineLevel="0" collapsed="false">
      <c r="A195" s="21"/>
      <c r="B195" s="20"/>
      <c r="C195" s="20"/>
      <c r="D195" s="20"/>
      <c r="E195" s="20"/>
    </row>
    <row r="196" customFormat="false" ht="15" hidden="false" customHeight="false" outlineLevel="0" collapsed="false">
      <c r="A196" s="21"/>
      <c r="B196" s="20"/>
      <c r="C196" s="20"/>
      <c r="D196" s="20"/>
      <c r="E196" s="20"/>
    </row>
    <row r="197" customFormat="false" ht="15" hidden="false" customHeight="false" outlineLevel="0" collapsed="false">
      <c r="A197" s="21"/>
      <c r="B197" s="20"/>
      <c r="C197" s="20"/>
      <c r="D197" s="20"/>
      <c r="E197" s="20"/>
    </row>
    <row r="198" customFormat="false" ht="15" hidden="false" customHeight="false" outlineLevel="0" collapsed="false">
      <c r="A198" s="21"/>
      <c r="B198" s="20"/>
      <c r="C198" s="20"/>
      <c r="D198" s="20"/>
      <c r="E198" s="20"/>
    </row>
    <row r="199" customFormat="false" ht="15" hidden="false" customHeight="false" outlineLevel="0" collapsed="false">
      <c r="A199" s="21"/>
      <c r="B199" s="20"/>
      <c r="C199" s="20"/>
      <c r="D199" s="20"/>
      <c r="E199" s="20"/>
    </row>
    <row r="200" customFormat="false" ht="15" hidden="false" customHeight="false" outlineLevel="0" collapsed="false">
      <c r="A200" s="21"/>
      <c r="B200" s="20"/>
      <c r="C200" s="20"/>
      <c r="D200" s="20"/>
      <c r="E200" s="20"/>
    </row>
    <row r="201" customFormat="false" ht="15" hidden="false" customHeight="false" outlineLevel="0" collapsed="false">
      <c r="A201" s="21"/>
      <c r="B201" s="20"/>
      <c r="C201" s="20"/>
      <c r="D201" s="20"/>
      <c r="E201" s="20"/>
    </row>
    <row r="202" customFormat="false" ht="15" hidden="false" customHeight="false" outlineLevel="0" collapsed="false">
      <c r="A202" s="21"/>
      <c r="B202" s="20"/>
      <c r="C202" s="20"/>
      <c r="D202" s="20"/>
      <c r="E202" s="20"/>
    </row>
    <row r="203" customFormat="false" ht="15" hidden="false" customHeight="false" outlineLevel="0" collapsed="false">
      <c r="A203" s="21"/>
      <c r="B203" s="20"/>
      <c r="C203" s="20"/>
      <c r="D203" s="20"/>
      <c r="E203" s="20"/>
    </row>
    <row r="204" customFormat="false" ht="15" hidden="false" customHeight="false" outlineLevel="0" collapsed="false">
      <c r="A204" s="21"/>
      <c r="B204" s="20"/>
      <c r="C204" s="20"/>
      <c r="D204" s="20"/>
      <c r="E204" s="20"/>
    </row>
    <row r="205" customFormat="false" ht="15" hidden="false" customHeight="false" outlineLevel="0" collapsed="false">
      <c r="A205" s="21"/>
      <c r="B205" s="20"/>
      <c r="C205" s="20"/>
      <c r="D205" s="20"/>
      <c r="E205" s="20"/>
    </row>
    <row r="206" customFormat="false" ht="15" hidden="false" customHeight="false" outlineLevel="0" collapsed="false">
      <c r="A206" s="21"/>
      <c r="B206" s="20"/>
      <c r="C206" s="20"/>
      <c r="D206" s="20"/>
      <c r="E206" s="20"/>
    </row>
    <row r="207" customFormat="false" ht="15" hidden="false" customHeight="false" outlineLevel="0" collapsed="false">
      <c r="A207" s="21"/>
      <c r="B207" s="20"/>
      <c r="C207" s="20"/>
      <c r="D207" s="20"/>
      <c r="E207" s="20"/>
    </row>
    <row r="208" customFormat="false" ht="15" hidden="false" customHeight="false" outlineLevel="0" collapsed="false">
      <c r="A208" s="21"/>
      <c r="B208" s="20"/>
      <c r="C208" s="20"/>
      <c r="D208" s="20"/>
      <c r="E208" s="20"/>
    </row>
    <row r="209" customFormat="false" ht="15" hidden="false" customHeight="false" outlineLevel="0" collapsed="false">
      <c r="A209" s="21"/>
      <c r="B209" s="20"/>
      <c r="C209" s="20"/>
      <c r="D209" s="20"/>
      <c r="E209" s="20"/>
    </row>
    <row r="210" customFormat="false" ht="15" hidden="false" customHeight="false" outlineLevel="0" collapsed="false">
      <c r="A210" s="21"/>
      <c r="B210" s="20"/>
      <c r="C210" s="20"/>
      <c r="D210" s="20"/>
      <c r="E210" s="20"/>
    </row>
    <row r="211" customFormat="false" ht="15" hidden="false" customHeight="false" outlineLevel="0" collapsed="false">
      <c r="A211" s="21"/>
      <c r="B211" s="20"/>
      <c r="C211" s="20"/>
      <c r="D211" s="20"/>
      <c r="E211" s="20"/>
    </row>
    <row r="212" customFormat="false" ht="15" hidden="false" customHeight="false" outlineLevel="0" collapsed="false">
      <c r="A212" s="21"/>
      <c r="B212" s="20"/>
      <c r="C212" s="20"/>
      <c r="D212" s="20"/>
      <c r="E212" s="20"/>
    </row>
    <row r="213" customFormat="false" ht="15" hidden="false" customHeight="false" outlineLevel="0" collapsed="false">
      <c r="A213" s="21"/>
      <c r="B213" s="20"/>
      <c r="C213" s="20"/>
      <c r="D213" s="20"/>
      <c r="E213" s="20"/>
    </row>
    <row r="214" customFormat="false" ht="15" hidden="false" customHeight="false" outlineLevel="0" collapsed="false">
      <c r="A214" s="21"/>
      <c r="B214" s="20"/>
      <c r="C214" s="20"/>
      <c r="D214" s="20"/>
      <c r="E214" s="20"/>
    </row>
    <row r="215" customFormat="false" ht="15" hidden="false" customHeight="false" outlineLevel="0" collapsed="false">
      <c r="A215" s="21"/>
      <c r="B215" s="20"/>
      <c r="C215" s="20"/>
      <c r="D215" s="20"/>
      <c r="E215" s="20"/>
    </row>
    <row r="216" customFormat="false" ht="15" hidden="false" customHeight="false" outlineLevel="0" collapsed="false">
      <c r="A216" s="21"/>
      <c r="B216" s="20"/>
      <c r="C216" s="20"/>
      <c r="D216" s="20"/>
      <c r="E216" s="20"/>
    </row>
    <row r="217" customFormat="false" ht="15" hidden="false" customHeight="false" outlineLevel="0" collapsed="false">
      <c r="A217" s="21"/>
      <c r="B217" s="20"/>
      <c r="C217" s="20"/>
      <c r="D217" s="20"/>
      <c r="E217" s="20"/>
    </row>
    <row r="218" customFormat="false" ht="15" hidden="false" customHeight="false" outlineLevel="0" collapsed="false">
      <c r="A218" s="21"/>
      <c r="B218" s="20"/>
      <c r="C218" s="20"/>
      <c r="D218" s="20"/>
      <c r="E218" s="20"/>
    </row>
    <row r="219" customFormat="false" ht="15" hidden="false" customHeight="false" outlineLevel="0" collapsed="false">
      <c r="A219" s="21"/>
      <c r="B219" s="20"/>
      <c r="C219" s="20"/>
      <c r="D219" s="20"/>
      <c r="E219" s="20"/>
    </row>
    <row r="220" customFormat="false" ht="15" hidden="false" customHeight="false" outlineLevel="0" collapsed="false">
      <c r="A220" s="21"/>
      <c r="B220" s="20"/>
      <c r="C220" s="20"/>
      <c r="D220" s="20"/>
      <c r="E220" s="20"/>
    </row>
    <row r="221" customFormat="false" ht="15" hidden="false" customHeight="false" outlineLevel="0" collapsed="false">
      <c r="A221" s="21"/>
      <c r="B221" s="20"/>
      <c r="C221" s="20"/>
      <c r="D221" s="20"/>
      <c r="E221" s="20"/>
    </row>
    <row r="222" customFormat="false" ht="15" hidden="false" customHeight="false" outlineLevel="0" collapsed="false">
      <c r="A222" s="21"/>
      <c r="B222" s="20"/>
      <c r="C222" s="20"/>
      <c r="D222" s="20"/>
      <c r="E222" s="20"/>
    </row>
    <row r="223" customFormat="false" ht="15" hidden="false" customHeight="false" outlineLevel="0" collapsed="false">
      <c r="A223" s="21"/>
      <c r="B223" s="20"/>
      <c r="C223" s="20"/>
      <c r="D223" s="20"/>
      <c r="E223" s="20"/>
    </row>
    <row r="224" customFormat="false" ht="15" hidden="false" customHeight="false" outlineLevel="0" collapsed="false">
      <c r="A224" s="21"/>
      <c r="B224" s="20"/>
      <c r="C224" s="20"/>
      <c r="D224" s="20"/>
      <c r="E224" s="20"/>
    </row>
    <row r="225" customFormat="false" ht="15" hidden="false" customHeight="false" outlineLevel="0" collapsed="false">
      <c r="A225" s="21"/>
      <c r="B225" s="20"/>
      <c r="C225" s="20"/>
      <c r="D225" s="20"/>
      <c r="E225" s="20"/>
    </row>
    <row r="226" customFormat="false" ht="15" hidden="false" customHeight="false" outlineLevel="0" collapsed="false">
      <c r="A226" s="21"/>
      <c r="B226" s="20"/>
      <c r="C226" s="20"/>
      <c r="D226" s="20"/>
      <c r="E226" s="20"/>
    </row>
    <row r="227" customFormat="false" ht="15" hidden="false" customHeight="false" outlineLevel="0" collapsed="false">
      <c r="A227" s="21"/>
      <c r="B227" s="20"/>
      <c r="C227" s="20"/>
      <c r="D227" s="20"/>
      <c r="E227" s="20"/>
    </row>
    <row r="228" customFormat="false" ht="15" hidden="false" customHeight="false" outlineLevel="0" collapsed="false">
      <c r="A228" s="21"/>
      <c r="B228" s="20"/>
      <c r="C228" s="20"/>
      <c r="D228" s="20"/>
      <c r="E228" s="20"/>
    </row>
    <row r="229" customFormat="false" ht="15" hidden="false" customHeight="false" outlineLevel="0" collapsed="false">
      <c r="A229" s="21"/>
      <c r="B229" s="20"/>
      <c r="C229" s="20"/>
      <c r="D229" s="20"/>
      <c r="E229" s="20"/>
    </row>
    <row r="230" customFormat="false" ht="15" hidden="false" customHeight="false" outlineLevel="0" collapsed="false">
      <c r="A230" s="21"/>
      <c r="B230" s="20"/>
      <c r="C230" s="20"/>
      <c r="D230" s="20"/>
      <c r="E230" s="20"/>
    </row>
    <row r="231" customFormat="false" ht="15" hidden="false" customHeight="false" outlineLevel="0" collapsed="false">
      <c r="A231" s="21"/>
      <c r="B231" s="20"/>
      <c r="C231" s="20"/>
      <c r="D231" s="20"/>
      <c r="E231" s="20"/>
    </row>
    <row r="232" customFormat="false" ht="15" hidden="false" customHeight="false" outlineLevel="0" collapsed="false">
      <c r="A232" s="21"/>
      <c r="B232" s="20"/>
      <c r="C232" s="20"/>
      <c r="D232" s="20"/>
      <c r="E232" s="20"/>
    </row>
    <row r="233" customFormat="false" ht="15" hidden="false" customHeight="false" outlineLevel="0" collapsed="false">
      <c r="A233" s="21"/>
      <c r="B233" s="20"/>
      <c r="C233" s="20"/>
      <c r="D233" s="20"/>
      <c r="E233" s="20"/>
    </row>
    <row r="234" customFormat="false" ht="15" hidden="false" customHeight="false" outlineLevel="0" collapsed="false">
      <c r="A234" s="21"/>
      <c r="B234" s="20"/>
      <c r="C234" s="20"/>
      <c r="D234" s="20"/>
      <c r="E234" s="20"/>
    </row>
    <row r="235" customFormat="false" ht="15" hidden="false" customHeight="false" outlineLevel="0" collapsed="false">
      <c r="A235" s="21"/>
      <c r="B235" s="20"/>
      <c r="C235" s="20"/>
      <c r="D235" s="20"/>
      <c r="E235" s="20"/>
    </row>
    <row r="236" customFormat="false" ht="15" hidden="false" customHeight="false" outlineLevel="0" collapsed="false">
      <c r="A236" s="21"/>
      <c r="B236" s="20"/>
      <c r="C236" s="20"/>
      <c r="D236" s="20"/>
      <c r="E236" s="20"/>
    </row>
    <row r="237" customFormat="false" ht="15" hidden="false" customHeight="false" outlineLevel="0" collapsed="false">
      <c r="A237" s="21"/>
      <c r="B237" s="20"/>
      <c r="C237" s="20"/>
      <c r="D237" s="20"/>
      <c r="E237" s="20"/>
    </row>
    <row r="238" customFormat="false" ht="15" hidden="false" customHeight="false" outlineLevel="0" collapsed="false">
      <c r="A238" s="21"/>
      <c r="B238" s="20"/>
      <c r="C238" s="20"/>
      <c r="D238" s="20"/>
      <c r="E238" s="20"/>
    </row>
    <row r="239" customFormat="false" ht="15" hidden="false" customHeight="false" outlineLevel="0" collapsed="false">
      <c r="A239" s="21"/>
      <c r="B239" s="20"/>
      <c r="C239" s="20"/>
      <c r="D239" s="20"/>
      <c r="E239" s="20"/>
    </row>
    <row r="240" customFormat="false" ht="15" hidden="false" customHeight="false" outlineLevel="0" collapsed="false">
      <c r="A240" s="21"/>
      <c r="B240" s="20"/>
      <c r="C240" s="20"/>
      <c r="D240" s="20"/>
      <c r="E240" s="20"/>
    </row>
    <row r="241" customFormat="false" ht="15" hidden="false" customHeight="false" outlineLevel="0" collapsed="false">
      <c r="A241" s="21"/>
      <c r="B241" s="20"/>
      <c r="C241" s="20"/>
      <c r="D241" s="20"/>
      <c r="E241" s="20"/>
    </row>
    <row r="242" customFormat="false" ht="15" hidden="false" customHeight="false" outlineLevel="0" collapsed="false">
      <c r="A242" s="21"/>
      <c r="B242" s="20"/>
      <c r="C242" s="20"/>
      <c r="D242" s="20"/>
      <c r="E242" s="20"/>
    </row>
    <row r="243" customFormat="false" ht="15" hidden="false" customHeight="false" outlineLevel="0" collapsed="false">
      <c r="A243" s="21"/>
      <c r="B243" s="20"/>
      <c r="C243" s="20"/>
      <c r="D243" s="20"/>
      <c r="E243" s="20"/>
    </row>
    <row r="244" customFormat="false" ht="15" hidden="false" customHeight="false" outlineLevel="0" collapsed="false">
      <c r="A244" s="21"/>
      <c r="B244" s="20"/>
      <c r="C244" s="20"/>
      <c r="D244" s="20"/>
      <c r="E244" s="20"/>
    </row>
    <row r="245" customFormat="false" ht="15" hidden="false" customHeight="false" outlineLevel="0" collapsed="false">
      <c r="A245" s="21"/>
      <c r="B245" s="20"/>
      <c r="C245" s="20"/>
      <c r="D245" s="20"/>
      <c r="E245" s="20"/>
    </row>
    <row r="246" customFormat="false" ht="15" hidden="false" customHeight="false" outlineLevel="0" collapsed="false">
      <c r="A246" s="21"/>
      <c r="B246" s="20"/>
      <c r="C246" s="20"/>
      <c r="D246" s="20"/>
      <c r="E246" s="20"/>
    </row>
    <row r="247" customFormat="false" ht="15" hidden="false" customHeight="false" outlineLevel="0" collapsed="false">
      <c r="A247" s="21"/>
      <c r="B247" s="20"/>
      <c r="C247" s="20"/>
      <c r="D247" s="20"/>
      <c r="E247" s="20"/>
    </row>
    <row r="248" customFormat="false" ht="15" hidden="false" customHeight="false" outlineLevel="0" collapsed="false">
      <c r="A248" s="21"/>
      <c r="B248" s="20"/>
      <c r="C248" s="20"/>
      <c r="D248" s="20"/>
      <c r="E248" s="20"/>
    </row>
    <row r="249" customFormat="false" ht="15" hidden="false" customHeight="false" outlineLevel="0" collapsed="false">
      <c r="A249" s="21"/>
      <c r="B249" s="20"/>
      <c r="C249" s="20"/>
      <c r="D249" s="20"/>
      <c r="E249" s="20"/>
    </row>
    <row r="250" customFormat="false" ht="15" hidden="false" customHeight="false" outlineLevel="0" collapsed="false">
      <c r="A250" s="21"/>
      <c r="B250" s="20"/>
      <c r="C250" s="20"/>
      <c r="D250" s="20"/>
      <c r="E250" s="20"/>
    </row>
    <row r="251" customFormat="false" ht="15" hidden="false" customHeight="false" outlineLevel="0" collapsed="false">
      <c r="A251" s="21"/>
      <c r="B251" s="20"/>
      <c r="C251" s="20"/>
      <c r="D251" s="20"/>
      <c r="E251" s="20"/>
    </row>
    <row r="252" customFormat="false" ht="15" hidden="false" customHeight="false" outlineLevel="0" collapsed="false">
      <c r="A252" s="21"/>
      <c r="B252" s="20"/>
      <c r="C252" s="20"/>
      <c r="D252" s="20"/>
      <c r="E252" s="20"/>
    </row>
    <row r="253" customFormat="false" ht="15" hidden="false" customHeight="false" outlineLevel="0" collapsed="false">
      <c r="A253" s="21"/>
      <c r="B253" s="20"/>
      <c r="C253" s="20"/>
      <c r="D253" s="20"/>
      <c r="E253" s="20"/>
    </row>
    <row r="254" customFormat="false" ht="15" hidden="false" customHeight="false" outlineLevel="0" collapsed="false">
      <c r="A254" s="21"/>
      <c r="B254" s="20"/>
      <c r="C254" s="20"/>
      <c r="D254" s="20"/>
      <c r="E254" s="20"/>
    </row>
    <row r="255" customFormat="false" ht="15" hidden="false" customHeight="false" outlineLevel="0" collapsed="false">
      <c r="A255" s="21"/>
      <c r="B255" s="20"/>
      <c r="C255" s="20"/>
      <c r="D255" s="20"/>
      <c r="E255" s="20"/>
    </row>
    <row r="256" customFormat="false" ht="15" hidden="false" customHeight="false" outlineLevel="0" collapsed="false">
      <c r="A256" s="21"/>
      <c r="B256" s="20"/>
      <c r="C256" s="20"/>
      <c r="D256" s="20"/>
      <c r="E256" s="20"/>
    </row>
    <row r="257" customFormat="false" ht="15" hidden="false" customHeight="false" outlineLevel="0" collapsed="false">
      <c r="A257" s="21"/>
      <c r="B257" s="20"/>
      <c r="C257" s="20"/>
      <c r="D257" s="20"/>
      <c r="E257" s="20"/>
    </row>
    <row r="258" customFormat="false" ht="15" hidden="false" customHeight="false" outlineLevel="0" collapsed="false">
      <c r="A258" s="21"/>
      <c r="B258" s="20"/>
      <c r="C258" s="20"/>
      <c r="D258" s="20"/>
      <c r="E258" s="20"/>
    </row>
    <row r="259" customFormat="false" ht="15" hidden="false" customHeight="false" outlineLevel="0" collapsed="false">
      <c r="A259" s="21"/>
      <c r="B259" s="20"/>
      <c r="C259" s="20"/>
      <c r="D259" s="20"/>
      <c r="E259" s="20"/>
    </row>
    <row r="260" customFormat="false" ht="15" hidden="false" customHeight="false" outlineLevel="0" collapsed="false">
      <c r="A260" s="21"/>
      <c r="B260" s="20"/>
      <c r="C260" s="20"/>
      <c r="D260" s="20"/>
      <c r="E260" s="20"/>
    </row>
    <row r="261" customFormat="false" ht="15" hidden="false" customHeight="false" outlineLevel="0" collapsed="false">
      <c r="A261" s="21"/>
      <c r="B261" s="20"/>
      <c r="C261" s="20"/>
      <c r="D261" s="20"/>
      <c r="E261" s="20"/>
    </row>
    <row r="262" customFormat="false" ht="15" hidden="false" customHeight="false" outlineLevel="0" collapsed="false">
      <c r="A262" s="21"/>
      <c r="B262" s="20"/>
      <c r="C262" s="20"/>
      <c r="D262" s="20"/>
      <c r="E262" s="20"/>
    </row>
    <row r="263" customFormat="false" ht="15" hidden="false" customHeight="false" outlineLevel="0" collapsed="false">
      <c r="A263" s="21"/>
      <c r="B263" s="20"/>
      <c r="C263" s="20"/>
      <c r="D263" s="20"/>
      <c r="E263" s="20"/>
    </row>
    <row r="264" customFormat="false" ht="15" hidden="false" customHeight="false" outlineLevel="0" collapsed="false">
      <c r="A264" s="21"/>
      <c r="B264" s="20"/>
      <c r="C264" s="20"/>
      <c r="D264" s="20"/>
      <c r="E264" s="20"/>
    </row>
    <row r="265" customFormat="false" ht="15" hidden="false" customHeight="false" outlineLevel="0" collapsed="false">
      <c r="A265" s="21"/>
      <c r="B265" s="20"/>
      <c r="C265" s="20"/>
      <c r="D265" s="20"/>
      <c r="E265" s="20"/>
    </row>
    <row r="266" customFormat="false" ht="15" hidden="false" customHeight="false" outlineLevel="0" collapsed="false">
      <c r="A266" s="21"/>
      <c r="B266" s="20"/>
      <c r="C266" s="20"/>
      <c r="D266" s="20"/>
      <c r="E266" s="20"/>
    </row>
    <row r="267" customFormat="false" ht="15" hidden="false" customHeight="false" outlineLevel="0" collapsed="false">
      <c r="A267" s="21"/>
      <c r="B267" s="20"/>
      <c r="C267" s="20"/>
      <c r="D267" s="20"/>
      <c r="E267" s="20"/>
    </row>
    <row r="268" customFormat="false" ht="15" hidden="false" customHeight="false" outlineLevel="0" collapsed="false">
      <c r="A268" s="21"/>
      <c r="B268" s="20"/>
      <c r="C268" s="20"/>
      <c r="D268" s="20"/>
      <c r="E268" s="20"/>
    </row>
    <row r="269" customFormat="false" ht="15" hidden="false" customHeight="false" outlineLevel="0" collapsed="false">
      <c r="A269" s="21"/>
      <c r="B269" s="20"/>
      <c r="C269" s="20"/>
      <c r="D269" s="20"/>
      <c r="E269" s="20"/>
    </row>
    <row r="270" customFormat="false" ht="15" hidden="false" customHeight="false" outlineLevel="0" collapsed="false">
      <c r="A270" s="21"/>
      <c r="B270" s="20"/>
      <c r="C270" s="20"/>
      <c r="D270" s="20"/>
      <c r="E270" s="20"/>
    </row>
    <row r="271" customFormat="false" ht="15" hidden="false" customHeight="false" outlineLevel="0" collapsed="false">
      <c r="A271" s="21"/>
      <c r="B271" s="20"/>
      <c r="C271" s="20"/>
      <c r="D271" s="20"/>
      <c r="E271" s="20"/>
    </row>
    <row r="272" customFormat="false" ht="15" hidden="false" customHeight="false" outlineLevel="0" collapsed="false">
      <c r="A272" s="21"/>
      <c r="B272" s="20"/>
      <c r="C272" s="20"/>
      <c r="D272" s="20"/>
      <c r="E272" s="20"/>
    </row>
    <row r="273" customFormat="false" ht="15" hidden="false" customHeight="false" outlineLevel="0" collapsed="false">
      <c r="A273" s="21"/>
      <c r="B273" s="20"/>
      <c r="C273" s="20"/>
      <c r="D273" s="20"/>
      <c r="E273" s="20"/>
    </row>
    <row r="274" customFormat="false" ht="15" hidden="false" customHeight="false" outlineLevel="0" collapsed="false">
      <c r="A274" s="21"/>
      <c r="B274" s="20"/>
      <c r="C274" s="20"/>
      <c r="D274" s="20"/>
      <c r="E274" s="20"/>
    </row>
    <row r="275" customFormat="false" ht="15" hidden="false" customHeight="false" outlineLevel="0" collapsed="false">
      <c r="A275" s="21"/>
      <c r="B275" s="20"/>
      <c r="C275" s="20"/>
      <c r="D275" s="20"/>
      <c r="E275" s="20"/>
    </row>
    <row r="276" customFormat="false" ht="15" hidden="false" customHeight="false" outlineLevel="0" collapsed="false">
      <c r="A276" s="21"/>
      <c r="B276" s="20"/>
      <c r="C276" s="20"/>
      <c r="D276" s="20"/>
      <c r="E276" s="20"/>
    </row>
    <row r="277" customFormat="false" ht="15" hidden="false" customHeight="false" outlineLevel="0" collapsed="false">
      <c r="A277" s="21"/>
      <c r="B277" s="20"/>
      <c r="C277" s="20"/>
      <c r="D277" s="20"/>
      <c r="E277" s="20"/>
    </row>
    <row r="278" customFormat="false" ht="15" hidden="false" customHeight="false" outlineLevel="0" collapsed="false">
      <c r="A278" s="21"/>
      <c r="B278" s="20"/>
      <c r="C278" s="20"/>
      <c r="D278" s="20"/>
      <c r="E278" s="20"/>
    </row>
    <row r="279" customFormat="false" ht="15" hidden="false" customHeight="false" outlineLevel="0" collapsed="false">
      <c r="A279" s="21"/>
      <c r="B279" s="20"/>
      <c r="C279" s="20"/>
      <c r="D279" s="20"/>
      <c r="E279" s="20"/>
    </row>
    <row r="280" customFormat="false" ht="15" hidden="false" customHeight="false" outlineLevel="0" collapsed="false">
      <c r="A280" s="21"/>
      <c r="B280" s="20"/>
      <c r="C280" s="20"/>
      <c r="D280" s="20"/>
      <c r="E280" s="20"/>
    </row>
    <row r="281" customFormat="false" ht="15" hidden="false" customHeight="false" outlineLevel="0" collapsed="false">
      <c r="A281" s="21"/>
      <c r="B281" s="20"/>
      <c r="C281" s="20"/>
      <c r="D281" s="20"/>
      <c r="E281" s="20"/>
    </row>
    <row r="282" customFormat="false" ht="15" hidden="false" customHeight="false" outlineLevel="0" collapsed="false">
      <c r="A282" s="21"/>
      <c r="B282" s="20"/>
      <c r="C282" s="20"/>
      <c r="D282" s="20"/>
      <c r="E282" s="20"/>
    </row>
    <row r="283" customFormat="false" ht="15" hidden="false" customHeight="false" outlineLevel="0" collapsed="false">
      <c r="A283" s="21"/>
      <c r="B283" s="20"/>
      <c r="C283" s="20"/>
      <c r="D283" s="20"/>
      <c r="E283" s="20"/>
    </row>
    <row r="284" customFormat="false" ht="15" hidden="false" customHeight="false" outlineLevel="0" collapsed="false">
      <c r="A284" s="21"/>
      <c r="B284" s="20"/>
      <c r="C284" s="20"/>
      <c r="D284" s="20"/>
      <c r="E284" s="20"/>
    </row>
    <row r="285" customFormat="false" ht="15" hidden="false" customHeight="false" outlineLevel="0" collapsed="false">
      <c r="A285" s="21"/>
      <c r="B285" s="20"/>
      <c r="C285" s="20"/>
      <c r="D285" s="20"/>
      <c r="E285" s="20"/>
    </row>
    <row r="286" customFormat="false" ht="15" hidden="false" customHeight="false" outlineLevel="0" collapsed="false">
      <c r="A286" s="21"/>
      <c r="B286" s="20"/>
      <c r="C286" s="20"/>
      <c r="D286" s="20"/>
      <c r="E286" s="20"/>
    </row>
    <row r="287" customFormat="false" ht="15" hidden="false" customHeight="false" outlineLevel="0" collapsed="false">
      <c r="A287" s="21"/>
      <c r="B287" s="20"/>
      <c r="C287" s="20"/>
      <c r="D287" s="20"/>
      <c r="E287" s="20"/>
    </row>
    <row r="288" customFormat="false" ht="15" hidden="false" customHeight="false" outlineLevel="0" collapsed="false">
      <c r="A288" s="21"/>
      <c r="B288" s="20"/>
      <c r="C288" s="20"/>
      <c r="D288" s="20"/>
      <c r="E288" s="20"/>
    </row>
    <row r="289" customFormat="false" ht="15" hidden="false" customHeight="false" outlineLevel="0" collapsed="false">
      <c r="A289" s="21"/>
      <c r="B289" s="20"/>
      <c r="C289" s="20"/>
      <c r="D289" s="20"/>
      <c r="E289" s="20"/>
    </row>
    <row r="290" customFormat="false" ht="15" hidden="false" customHeight="false" outlineLevel="0" collapsed="false">
      <c r="A290" s="21"/>
      <c r="B290" s="20"/>
      <c r="C290" s="20"/>
      <c r="D290" s="20"/>
      <c r="E290" s="20"/>
    </row>
    <row r="291" customFormat="false" ht="15" hidden="false" customHeight="false" outlineLevel="0" collapsed="false">
      <c r="A291" s="21"/>
      <c r="B291" s="20"/>
      <c r="C291" s="20"/>
      <c r="D291" s="20"/>
      <c r="E291" s="20"/>
    </row>
    <row r="292" customFormat="false" ht="15" hidden="false" customHeight="false" outlineLevel="0" collapsed="false">
      <c r="A292" s="21"/>
      <c r="B292" s="20"/>
      <c r="C292" s="20"/>
      <c r="D292" s="20"/>
      <c r="E292" s="20"/>
    </row>
    <row r="293" customFormat="false" ht="15" hidden="false" customHeight="false" outlineLevel="0" collapsed="false">
      <c r="A293" s="21"/>
      <c r="B293" s="20"/>
      <c r="C293" s="20"/>
      <c r="D293" s="20"/>
      <c r="E293" s="20"/>
    </row>
    <row r="294" customFormat="false" ht="15" hidden="false" customHeight="false" outlineLevel="0" collapsed="false">
      <c r="A294" s="21"/>
      <c r="B294" s="20"/>
      <c r="C294" s="20"/>
      <c r="D294" s="20"/>
      <c r="E294" s="20"/>
    </row>
    <row r="295" customFormat="false" ht="15" hidden="false" customHeight="false" outlineLevel="0" collapsed="false">
      <c r="A295" s="21"/>
      <c r="B295" s="20"/>
      <c r="C295" s="20"/>
      <c r="D295" s="20"/>
      <c r="E295" s="20"/>
    </row>
    <row r="296" customFormat="false" ht="15" hidden="false" customHeight="false" outlineLevel="0" collapsed="false">
      <c r="A296" s="21"/>
      <c r="B296" s="20"/>
      <c r="C296" s="20"/>
      <c r="D296" s="20"/>
      <c r="E296" s="20"/>
    </row>
    <row r="297" customFormat="false" ht="15" hidden="false" customHeight="false" outlineLevel="0" collapsed="false">
      <c r="A297" s="21"/>
      <c r="B297" s="20"/>
      <c r="C297" s="20"/>
      <c r="D297" s="20"/>
      <c r="E297" s="20"/>
    </row>
    <row r="298" customFormat="false" ht="15" hidden="false" customHeight="false" outlineLevel="0" collapsed="false">
      <c r="A298" s="21"/>
      <c r="B298" s="20"/>
      <c r="C298" s="20"/>
      <c r="D298" s="20"/>
      <c r="E298" s="20"/>
    </row>
    <row r="299" customFormat="false" ht="15" hidden="false" customHeight="false" outlineLevel="0" collapsed="false">
      <c r="A299" s="21"/>
      <c r="B299" s="20"/>
      <c r="C299" s="20"/>
      <c r="D299" s="20"/>
      <c r="E299" s="20"/>
    </row>
    <row r="300" customFormat="false" ht="15" hidden="false" customHeight="false" outlineLevel="0" collapsed="false">
      <c r="A300" s="21"/>
      <c r="B300" s="20"/>
      <c r="C300" s="20"/>
      <c r="D300" s="20"/>
      <c r="E300" s="20"/>
    </row>
    <row r="301" customFormat="false" ht="15" hidden="false" customHeight="false" outlineLevel="0" collapsed="false">
      <c r="A301" s="21"/>
      <c r="B301" s="20"/>
      <c r="C301" s="20"/>
      <c r="D301" s="20"/>
      <c r="E301" s="20"/>
    </row>
  </sheetData>
  <dataValidations count="1">
    <dataValidation allowBlank="true" errorStyle="stop" operator="between" showDropDown="false" showErrorMessage="false" showInputMessage="false" sqref="B2:B301" type="list">
      <formula1>设置!$A$13:$A$20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2026-10-26T13:16:13Z</dcterms:created>
  <dc:creator>openpyxl</dc:creator>
  <dc:description/>
  <dc:language>en-US</dc:language>
  <cp:lastModifiedBy/>
  <dcterms:modified xsi:type="dcterms:W3CDTF">2026-10-26T21:16:19Z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